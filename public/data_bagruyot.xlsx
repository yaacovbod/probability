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גדרות" sheetId="1" state="visible" r:id="rId1"/>
    <sheet xmlns:r="http://schemas.openxmlformats.org/officeDocument/2006/relationships" name="תלמידים" sheetId="2" state="visible" r:id="rId2"/>
    <sheet xmlns:r="http://schemas.openxmlformats.org/officeDocument/2006/relationships" name="ציוני_בגרות" sheetId="3" state="visible" r:id="rId3"/>
    <sheet xmlns:r="http://schemas.openxmlformats.org/officeDocument/2006/relationships" name="ציוני_תעודה" sheetId="4" state="visible" r:id="rId4"/>
    <sheet xmlns:r="http://schemas.openxmlformats.org/officeDocument/2006/relationships" name="דו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8" customWidth="1" min="3" max="3"/>
  </cols>
  <sheetData>
    <row r="1">
      <c r="A1" s="1" t="inlineStr">
        <is>
          <t>משקלים ראשיים</t>
        </is>
      </c>
      <c r="B1" s="1" t="inlineStr"/>
      <c r="C1" s="1" t="inlineStr"/>
    </row>
    <row r="2">
      <c r="A2" s="2" t="inlineStr">
        <is>
          <t>רכיב</t>
        </is>
      </c>
      <c r="B2" s="2" t="inlineStr">
        <is>
          <t>משקל</t>
        </is>
      </c>
      <c r="C2" s="2" t="inlineStr">
        <is>
          <t>הסבר</t>
        </is>
      </c>
    </row>
    <row r="3">
      <c r="A3" s="3" t="inlineStr">
        <is>
          <t>ציוני בגרות שנעשו</t>
        </is>
      </c>
      <c r="B3" s="4" t="n">
        <v>0.55</v>
      </c>
      <c r="C3" s="3" t="inlineStr">
        <is>
          <t>המשקל הגבוה ביותר — תוצאות בחינות ממשרד החינוך</t>
        </is>
      </c>
    </row>
    <row r="4">
      <c r="A4" s="3" t="inlineStr">
        <is>
          <t>ציוני תעודה</t>
        </is>
      </c>
      <c r="B4" s="4" t="n">
        <v>0.15</v>
      </c>
      <c r="C4" s="3" t="inlineStr">
        <is>
          <t>ממוצע מקצועות ליבה בתעודה</t>
        </is>
      </c>
    </row>
    <row r="5">
      <c r="A5" s="3" t="inlineStr">
        <is>
          <t>רמת מתמטיקה + אנגלית</t>
        </is>
      </c>
      <c r="B5" s="4" t="n">
        <v>0.1</v>
      </c>
      <c r="C5" s="3" t="inlineStr">
        <is>
          <t>מספר יחידות לימוד</t>
        </is>
      </c>
    </row>
    <row r="6">
      <c r="A6" s="3" t="inlineStr">
        <is>
          <t>נוכחות</t>
        </is>
      </c>
      <c r="B6" s="4" t="n">
        <v>0.2</v>
      </c>
      <c r="C6" s="3" t="inlineStr">
        <is>
          <t>אחוז נוכחות בשיעורים</t>
        </is>
      </c>
    </row>
    <row r="7">
      <c r="A7" s="3" t="inlineStr"/>
      <c r="B7" s="3" t="inlineStr"/>
      <c r="C7" s="3" t="inlineStr"/>
    </row>
    <row r="8">
      <c r="A8" s="1" t="inlineStr">
        <is>
          <t>משקלים תוך רכיב הבגרויות</t>
        </is>
      </c>
      <c r="B8" s="1" t="inlineStr"/>
      <c r="C8" s="1" t="inlineStr"/>
    </row>
    <row r="9">
      <c r="A9" s="2" t="inlineStr">
        <is>
          <t>מקצוע</t>
        </is>
      </c>
      <c r="B9" s="2" t="inlineStr">
        <is>
          <t>משקל</t>
        </is>
      </c>
      <c r="C9" s="2" t="inlineStr">
        <is>
          <t>הסבר</t>
        </is>
      </c>
    </row>
    <row r="10">
      <c r="A10" s="3" t="inlineStr">
        <is>
          <t>לשון</t>
        </is>
      </c>
      <c r="B10" s="4" t="n">
        <v>0.5</v>
      </c>
      <c r="C10" s="3" t="inlineStr">
        <is>
          <t>הכי קריטי — נכשל = מסכן הכל</t>
        </is>
      </c>
    </row>
    <row r="11">
      <c r="A11" s="3" t="inlineStr">
        <is>
          <t>תנ"ך</t>
        </is>
      </c>
      <c r="B11" s="4" t="n">
        <v>0.3</v>
      </c>
      <c r="C11" s="3" t="inlineStr"/>
    </row>
    <row r="12">
      <c r="A12" s="3" t="inlineStr">
        <is>
          <t>היסטוריה / אחר</t>
        </is>
      </c>
      <c r="B12" s="4" t="n">
        <v>0.2</v>
      </c>
      <c r="C12" s="3" t="inlineStr">
        <is>
          <t>ניטרלי אם חסר</t>
        </is>
      </c>
    </row>
    <row r="13">
      <c r="A13" s="3" t="inlineStr"/>
      <c r="B13" s="3" t="inlineStr"/>
      <c r="C13" s="3" t="inlineStr"/>
    </row>
    <row r="14">
      <c r="A14" s="1" t="inlineStr">
        <is>
          <t>כללים חשובים</t>
        </is>
      </c>
      <c r="B14" s="1" t="inlineStr"/>
      <c r="C14" s="1" t="inlineStr"/>
    </row>
    <row r="15">
      <c r="A15" s="2" t="inlineStr">
        <is>
          <t>כלל</t>
        </is>
      </c>
      <c r="B15" s="2" t="inlineStr">
        <is>
          <t>ערך</t>
        </is>
      </c>
      <c r="C15" s="2" t="inlineStr">
        <is>
          <t>הסבר</t>
        </is>
      </c>
    </row>
    <row r="16">
      <c r="A16" s="3" t="inlineStr">
        <is>
          <t>לשון — חסר + לא חינ"מ + לא מאוחר</t>
        </is>
      </c>
      <c r="B16" s="4" t="n">
        <v>0</v>
      </c>
      <c r="C16" s="3" t="inlineStr">
        <is>
          <t>לא הוגש בגלל חולשה</t>
        </is>
      </c>
    </row>
    <row r="17">
      <c r="A17" s="3" t="inlineStr">
        <is>
          <t>לשון — חסר + חינ"מ</t>
        </is>
      </c>
      <c r="B17" s="4" t="n">
        <v>80</v>
      </c>
      <c r="C17" s="3" t="inlineStr">
        <is>
          <t>בית הספר יכול להבטיח ציון עובר</t>
        </is>
      </c>
    </row>
    <row r="18">
      <c r="A18" s="3" t="inlineStr">
        <is>
          <t>לשון — חסר + הצטרף מאוחר</t>
        </is>
      </c>
      <c r="B18" s="3" t="inlineStr">
        <is>
          <t>—</t>
        </is>
      </c>
      <c r="C18" s="3" t="inlineStr">
        <is>
          <t>ניטרלי</t>
        </is>
      </c>
    </row>
    <row r="19">
      <c r="A19" s="3" t="inlineStr">
        <is>
          <t>תנ"ך/היסטוריה — חסר + חינ"מ</t>
        </is>
      </c>
      <c r="B19" s="3" t="inlineStr">
        <is>
          <t>—</t>
        </is>
      </c>
      <c r="C19" s="3" t="inlineStr">
        <is>
          <t>ניטרלי (תוכנית מיוחדת)</t>
        </is>
      </c>
    </row>
    <row r="20">
      <c r="A20" s="3" t="inlineStr">
        <is>
          <t>היסטוריה — חסר (כולם)</t>
        </is>
      </c>
      <c r="B20" s="3" t="inlineStr">
        <is>
          <t>—</t>
        </is>
      </c>
      <c r="C20" s="3" t="inlineStr">
        <is>
          <t>ניטרלי — הוסף 0 ידנית אם לא ניגש</t>
        </is>
      </c>
    </row>
    <row r="21">
      <c r="A21" s="3" t="inlineStr"/>
      <c r="B21" s="3" t="inlineStr"/>
      <c r="C21" s="3" t="inlineStr"/>
    </row>
    <row r="22">
      <c r="A22" s="1" t="inlineStr">
        <is>
          <t>ספי רמת סיכון</t>
        </is>
      </c>
      <c r="B22" s="1" t="inlineStr"/>
      <c r="C22" s="1" t="inlineStr"/>
    </row>
    <row r="23">
      <c r="A23" s="2" t="inlineStr">
        <is>
          <t>רמה</t>
        </is>
      </c>
      <c r="B23" s="2" t="inlineStr">
        <is>
          <t>ציון מינימלי</t>
        </is>
      </c>
      <c r="C23" s="2" t="inlineStr">
        <is>
          <t>צבע</t>
        </is>
      </c>
    </row>
    <row r="24">
      <c r="A24" s="3" t="inlineStr">
        <is>
          <t>גבוה מאוד</t>
        </is>
      </c>
      <c r="B24" s="4" t="n">
        <v>0</v>
      </c>
      <c r="C24" s="3" t="inlineStr">
        <is>
          <t>אדום</t>
        </is>
      </c>
    </row>
    <row r="25">
      <c r="A25" s="3" t="inlineStr">
        <is>
          <t>גבוה</t>
        </is>
      </c>
      <c r="B25" s="4" t="n">
        <v>45</v>
      </c>
      <c r="C25" s="3" t="inlineStr">
        <is>
          <t>כתום</t>
        </is>
      </c>
    </row>
    <row r="26">
      <c r="A26" s="3" t="inlineStr">
        <is>
          <t>בינוני</t>
        </is>
      </c>
      <c r="B26" s="4" t="n">
        <v>65</v>
      </c>
      <c r="C26" s="3" t="inlineStr">
        <is>
          <t>צהוב</t>
        </is>
      </c>
    </row>
    <row r="27">
      <c r="A27" s="3" t="inlineStr">
        <is>
          <t>נמוך</t>
        </is>
      </c>
      <c r="B27" s="4" t="n">
        <v>80</v>
      </c>
      <c r="C27" s="3" t="inlineStr">
        <is>
          <t>ירוק</t>
        </is>
      </c>
    </row>
    <row r="28">
      <c r="A28" s="3" t="inlineStr"/>
      <c r="B28" s="3" t="inlineStr"/>
      <c r="C28" s="3" t="inlineStr"/>
    </row>
    <row r="29">
      <c r="A29" s="1" t="inlineStr">
        <is>
          <t>הערכות פנימיות מובטחות</t>
        </is>
      </c>
      <c r="B29" s="1" t="inlineStr"/>
      <c r="C29" s="1" t="inlineStr"/>
    </row>
    <row r="30">
      <c r="A30" s="2" t="inlineStr">
        <is>
          <t>רכיב</t>
        </is>
      </c>
      <c r="B30" s="2" t="inlineStr">
        <is>
          <t>ציון מניח</t>
        </is>
      </c>
      <c r="C30" s="2" t="inlineStr">
        <is>
          <t>הסבר</t>
        </is>
      </c>
    </row>
    <row r="31">
      <c r="A31" s="3" t="inlineStr">
        <is>
          <t>הערכה פנימית (כל המקצועות)</t>
        </is>
      </c>
      <c r="B31" s="4" t="n">
        <v>85</v>
      </c>
      <c r="C31" s="3" t="inlineStr">
        <is>
          <t>30% מהציון הסופי</t>
        </is>
      </c>
    </row>
    <row r="32">
      <c r="A32" s="3" t="inlineStr">
        <is>
          <t>מטלות מקוונות (מקצועות הרוח)</t>
        </is>
      </c>
      <c r="B32" s="4" t="n">
        <v>70</v>
      </c>
      <c r="C32" s="3" t="inlineStr">
        <is>
          <t>35% — טרם הוזנו לכולם</t>
        </is>
      </c>
    </row>
    <row r="33">
      <c r="A33" s="3" t="inlineStr"/>
      <c r="B33" s="3" t="inlineStr"/>
      <c r="C33" s="3" t="inlineStr"/>
    </row>
    <row r="34">
      <c r="A34" s="1" t="inlineStr">
        <is>
          <t>כלל 50% שכבה</t>
        </is>
      </c>
      <c r="B34" s="1" t="inlineStr"/>
      <c r="C34" s="1" t="inlineStr"/>
    </row>
    <row r="35">
      <c r="A35" s="3" t="inlineStr">
        <is>
          <t>אם פחות מ-50% מהשכבה ניגשו למקצוע</t>
        </is>
      </c>
      <c r="B35" s="3" t="inlineStr">
        <is>
          <t>—</t>
        </is>
      </c>
      <c r="C35" s="3" t="inlineStr">
        <is>
          <t>חסר = ניטרלי לכולם</t>
        </is>
      </c>
    </row>
    <row r="36">
      <c r="A36" s="3" t="inlineStr">
        <is>
          <t>אם 50%+ ניגשו למקצוע</t>
        </is>
      </c>
      <c r="B36" s="4" t="n">
        <v>0</v>
      </c>
      <c r="C36" s="3" t="inlineStr">
        <is>
          <t>חסר = לא ניגש (עונש)</t>
        </is>
      </c>
    </row>
    <row r="37">
      <c r="A37" s="3" t="inlineStr">
        <is>
          <t>חריג: שאלון ראשון מתמטיקה 35173</t>
        </is>
      </c>
      <c r="B37" s="3" t="inlineStr">
        <is>
          <t>—</t>
        </is>
      </c>
      <c r="C37" s="3" t="inlineStr">
        <is>
          <t>רק לתלמידי 3 יח"ל — לא חל כלל 50%</t>
        </is>
      </c>
    </row>
    <row r="38">
      <c r="A38" s="3" t="inlineStr">
        <is>
          <t>חריג: מגמות (ביולוגיה, מוט"ל, שפות)</t>
        </is>
      </c>
      <c r="B38" s="4" t="n">
        <v>0</v>
      </c>
      <c r="C38" s="3" t="inlineStr">
        <is>
          <t>רק אם כתוב 0 מפורשות = לא ניגש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7" customWidth="1" min="3" max="3"/>
    <col width="8" customWidth="1" min="4" max="4"/>
    <col width="14" customWidth="1" min="5" max="5"/>
    <col width="13" customWidth="1" min="6" max="6"/>
    <col width="12" customWidth="1" min="7" max="7"/>
    <col width="13" customWidth="1" min="8" max="8"/>
    <col width="12" customWidth="1" min="9" max="9"/>
    <col width="32" customWidth="1" min="10" max="10"/>
  </cols>
  <sheetData>
    <row r="1" ht="40" customHeight="1">
      <c r="A1" s="5" t="inlineStr">
        <is>
          <t>תעודת זהות</t>
        </is>
      </c>
      <c r="B1" s="5" t="inlineStr">
        <is>
          <t>שם מלא</t>
        </is>
      </c>
      <c r="C1" s="5" t="inlineStr">
        <is>
          <t>כיתה</t>
        </is>
      </c>
      <c r="D1" s="5" t="inlineStr">
        <is>
          <t>חינ"מ</t>
        </is>
      </c>
      <c r="E1" s="5" t="inlineStr">
        <is>
          <t>הצטרף מאוחר (לשון)</t>
        </is>
      </c>
      <c r="F1" s="5" t="inlineStr">
        <is>
          <t>אחוז היעדרות</t>
        </is>
      </c>
      <c r="G1" s="5" t="inlineStr">
        <is>
          <t>אחוז נוכחות</t>
        </is>
      </c>
      <c r="H1" s="5" t="inlineStr">
        <is>
          <t>יח"ל מתמטיקה</t>
        </is>
      </c>
      <c r="I1" s="5" t="inlineStr">
        <is>
          <t>יח"ל אנגלית</t>
        </is>
      </c>
      <c r="J1" s="5" t="inlineStr">
        <is>
          <t>הערות</t>
        </is>
      </c>
    </row>
    <row r="2">
      <c r="A2" s="3" t="inlineStr">
        <is>
          <t>218075950</t>
        </is>
      </c>
      <c r="B2" s="6" t="inlineStr">
        <is>
          <t>אדמוני שלו</t>
        </is>
      </c>
      <c r="C2" s="3" t="inlineStr">
        <is>
          <t>יא'1</t>
        </is>
      </c>
      <c r="D2" s="3" t="inlineStr">
        <is>
          <t>לא</t>
        </is>
      </c>
      <c r="E2" s="3" t="inlineStr">
        <is>
          <t>לא</t>
        </is>
      </c>
      <c r="F2" s="4" t="n">
        <v>6</v>
      </c>
      <c r="G2" s="7">
        <f>IF(F2="","",100-F2)</f>
        <v/>
      </c>
      <c r="H2" s="4" t="n">
        <v>3</v>
      </c>
      <c r="I2" s="4" t="n">
        <v>5</v>
      </c>
      <c r="J2" s="3" t="inlineStr"/>
    </row>
    <row r="3">
      <c r="A3" s="3" t="inlineStr">
        <is>
          <t>218071348</t>
        </is>
      </c>
      <c r="B3" s="6" t="inlineStr">
        <is>
          <t>אהרן אדל</t>
        </is>
      </c>
      <c r="C3" s="3" t="inlineStr">
        <is>
          <t>יא'1</t>
        </is>
      </c>
      <c r="D3" s="3" t="inlineStr">
        <is>
          <t>לא</t>
        </is>
      </c>
      <c r="E3" s="3" t="inlineStr">
        <is>
          <t>לא</t>
        </is>
      </c>
      <c r="F3" s="4" t="n">
        <v>39</v>
      </c>
      <c r="G3" s="7">
        <f>IF(F3="","",100-F3)</f>
        <v/>
      </c>
      <c r="H3" s="4" t="n">
        <v>3</v>
      </c>
      <c r="I3" s="4" t="n">
        <v>4</v>
      </c>
      <c r="J3" s="3" t="inlineStr"/>
    </row>
    <row r="4">
      <c r="A4" s="3" t="inlineStr">
        <is>
          <t>218062586</t>
        </is>
      </c>
      <c r="B4" s="6" t="inlineStr">
        <is>
          <t>איזנקוט ליאן</t>
        </is>
      </c>
      <c r="C4" s="3" t="inlineStr">
        <is>
          <t>יא'1</t>
        </is>
      </c>
      <c r="D4" s="3" t="inlineStr">
        <is>
          <t>לא</t>
        </is>
      </c>
      <c r="E4" s="3" t="inlineStr">
        <is>
          <t>לא</t>
        </is>
      </c>
      <c r="F4" s="4" t="n">
        <v>48</v>
      </c>
      <c r="G4" s="7">
        <f>IF(F4="","",100-F4)</f>
        <v/>
      </c>
      <c r="H4" s="4" t="n">
        <v>3</v>
      </c>
      <c r="I4" s="4" t="n">
        <v>4</v>
      </c>
      <c r="J4" s="3" t="inlineStr"/>
    </row>
    <row r="5">
      <c r="A5" s="3" t="inlineStr">
        <is>
          <t>218155570</t>
        </is>
      </c>
      <c r="B5" s="6" t="inlineStr">
        <is>
          <t>אלחרר דביר</t>
        </is>
      </c>
      <c r="C5" s="3" t="inlineStr">
        <is>
          <t>יא'1</t>
        </is>
      </c>
      <c r="D5" s="3" t="inlineStr">
        <is>
          <t>לא</t>
        </is>
      </c>
      <c r="E5" s="3" t="inlineStr">
        <is>
          <t>לא</t>
        </is>
      </c>
      <c r="F5" s="4" t="n">
        <v>51</v>
      </c>
      <c r="G5" s="7">
        <f>IF(F5="","",100-F5)</f>
        <v/>
      </c>
      <c r="H5" s="4" t="n">
        <v>3</v>
      </c>
      <c r="I5" s="4" t="n">
        <v>5</v>
      </c>
      <c r="J5" s="3" t="inlineStr"/>
    </row>
    <row r="6">
      <c r="A6" s="3" t="inlineStr">
        <is>
          <t>327059259</t>
        </is>
      </c>
      <c r="B6" s="6" t="inlineStr">
        <is>
          <t>ארד יונתן</t>
        </is>
      </c>
      <c r="C6" s="3" t="inlineStr">
        <is>
          <t>יא'1</t>
        </is>
      </c>
      <c r="D6" s="3" t="inlineStr">
        <is>
          <t>לא</t>
        </is>
      </c>
      <c r="E6" s="3" t="inlineStr">
        <is>
          <t>לא</t>
        </is>
      </c>
      <c r="F6" s="4" t="n">
        <v>14</v>
      </c>
      <c r="G6" s="7">
        <f>IF(F6="","",100-F6)</f>
        <v/>
      </c>
      <c r="H6" s="4" t="n">
        <v>3</v>
      </c>
      <c r="I6" s="4" t="n">
        <v>5</v>
      </c>
      <c r="J6" s="3" t="inlineStr"/>
    </row>
    <row r="7">
      <c r="A7" s="3" t="inlineStr">
        <is>
          <t>333697498</t>
        </is>
      </c>
      <c r="B7" s="6" t="inlineStr">
        <is>
          <t>גברילוב ענאל</t>
        </is>
      </c>
      <c r="C7" s="3" t="inlineStr">
        <is>
          <t>יא'1</t>
        </is>
      </c>
      <c r="D7" s="3" t="inlineStr">
        <is>
          <t>לא</t>
        </is>
      </c>
      <c r="E7" s="3" t="inlineStr">
        <is>
          <t>לא</t>
        </is>
      </c>
      <c r="F7" s="4" t="n">
        <v>41</v>
      </c>
      <c r="G7" s="7">
        <f>IF(F7="","",100-F7)</f>
        <v/>
      </c>
      <c r="H7" s="4" t="n">
        <v>3</v>
      </c>
      <c r="I7" s="4" t="n">
        <v>4</v>
      </c>
      <c r="J7" s="3" t="inlineStr"/>
    </row>
    <row r="8">
      <c r="A8" s="3" t="inlineStr">
        <is>
          <t>337706980</t>
        </is>
      </c>
      <c r="B8" s="6" t="inlineStr">
        <is>
          <t>דה לאון טורס שמעון מנחם</t>
        </is>
      </c>
      <c r="C8" s="3" t="inlineStr">
        <is>
          <t>יא'1</t>
        </is>
      </c>
      <c r="D8" s="3" t="inlineStr">
        <is>
          <t>לא</t>
        </is>
      </c>
      <c r="E8" s="3" t="inlineStr">
        <is>
          <t>לא</t>
        </is>
      </c>
      <c r="F8" s="4" t="n">
        <v>43</v>
      </c>
      <c r="G8" s="7">
        <f>IF(F8="","",100-F8)</f>
        <v/>
      </c>
      <c r="H8" s="4" t="n">
        <v>3</v>
      </c>
      <c r="I8" s="4" t="n">
        <v>5</v>
      </c>
      <c r="J8" s="3" t="inlineStr"/>
    </row>
    <row r="9">
      <c r="A9" s="8" t="inlineStr"/>
      <c r="B9" s="9" t="inlineStr">
        <is>
          <t>דזיובה מרק</t>
        </is>
      </c>
      <c r="C9" s="8" t="inlineStr">
        <is>
          <t>יא'1</t>
        </is>
      </c>
      <c r="D9" s="8" t="inlineStr">
        <is>
          <t>כן</t>
        </is>
      </c>
      <c r="E9" s="8" t="inlineStr">
        <is>
          <t>לא</t>
        </is>
      </c>
      <c r="F9" s="4" t="n">
        <v>52</v>
      </c>
      <c r="G9" s="7">
        <f>IF(F9="","",100-F9)</f>
        <v/>
      </c>
      <c r="H9" s="4" t="n">
        <v>3</v>
      </c>
      <c r="I9" s="4" t="n">
        <v>4</v>
      </c>
      <c r="J9" s="8" t="inlineStr"/>
    </row>
    <row r="10">
      <c r="A10" s="3" t="inlineStr">
        <is>
          <t>333712065</t>
        </is>
      </c>
      <c r="B10" s="6" t="inlineStr">
        <is>
          <t>טספאי אורין</t>
        </is>
      </c>
      <c r="C10" s="3" t="inlineStr">
        <is>
          <t>יא'1</t>
        </is>
      </c>
      <c r="D10" s="3" t="inlineStr">
        <is>
          <t>לא</t>
        </is>
      </c>
      <c r="E10" s="3" t="inlineStr">
        <is>
          <t>לא</t>
        </is>
      </c>
      <c r="F10" s="4" t="n">
        <v>17</v>
      </c>
      <c r="G10" s="7">
        <f>IF(F10="","",100-F10)</f>
        <v/>
      </c>
      <c r="H10" s="4" t="n">
        <v>3</v>
      </c>
      <c r="I10" s="4" t="n">
        <v>4</v>
      </c>
      <c r="J10" s="3" t="inlineStr"/>
    </row>
    <row r="11">
      <c r="A11" s="3" t="inlineStr">
        <is>
          <t>333068609</t>
        </is>
      </c>
      <c r="B11" s="6" t="inlineStr">
        <is>
          <t>טקלה איתי</t>
        </is>
      </c>
      <c r="C11" s="3" t="inlineStr">
        <is>
          <t>יא'1</t>
        </is>
      </c>
      <c r="D11" s="3" t="inlineStr">
        <is>
          <t>לא</t>
        </is>
      </c>
      <c r="E11" s="3" t="inlineStr">
        <is>
          <t>לא</t>
        </is>
      </c>
      <c r="F11" s="4" t="n">
        <v>41</v>
      </c>
      <c r="G11" s="7">
        <f>IF(F11="","",100-F11)</f>
        <v/>
      </c>
      <c r="H11" s="4" t="n">
        <v>3</v>
      </c>
      <c r="I11" s="4" t="n">
        <v>4</v>
      </c>
      <c r="J11" s="3" t="inlineStr"/>
    </row>
    <row r="12">
      <c r="A12" s="3" t="inlineStr">
        <is>
          <t>218504579</t>
        </is>
      </c>
      <c r="B12" s="6" t="inlineStr">
        <is>
          <t>לוקס סיון</t>
        </is>
      </c>
      <c r="C12" s="3" t="inlineStr">
        <is>
          <t>יא'1</t>
        </is>
      </c>
      <c r="D12" s="3" t="inlineStr">
        <is>
          <t>לא</t>
        </is>
      </c>
      <c r="E12" s="3" t="inlineStr">
        <is>
          <t>לא</t>
        </is>
      </c>
      <c r="F12" s="4" t="n">
        <v>12</v>
      </c>
      <c r="G12" s="7">
        <f>IF(F12="","",100-F12)</f>
        <v/>
      </c>
      <c r="H12" s="4" t="n">
        <v>3</v>
      </c>
      <c r="I12" s="4" t="n">
        <v>5</v>
      </c>
      <c r="J12" s="3" t="inlineStr"/>
    </row>
    <row r="13">
      <c r="A13" s="3" t="inlineStr">
        <is>
          <t>218597250</t>
        </is>
      </c>
      <c r="B13" s="6" t="inlineStr">
        <is>
          <t>מורציאנו לינוי</t>
        </is>
      </c>
      <c r="C13" s="3" t="inlineStr">
        <is>
          <t>יא'1</t>
        </is>
      </c>
      <c r="D13" s="3" t="inlineStr">
        <is>
          <t>לא</t>
        </is>
      </c>
      <c r="E13" s="3" t="inlineStr">
        <is>
          <t>לא</t>
        </is>
      </c>
      <c r="F13" s="4" t="n">
        <v>51</v>
      </c>
      <c r="G13" s="7">
        <f>IF(F13="","",100-F13)</f>
        <v/>
      </c>
      <c r="H13" s="4" t="n">
        <v>3</v>
      </c>
      <c r="I13" s="4" t="n"/>
      <c r="J13" s="3" t="inlineStr"/>
    </row>
    <row r="14">
      <c r="A14" s="3" t="inlineStr">
        <is>
          <t>333762920</t>
        </is>
      </c>
      <c r="B14" s="6" t="inlineStr">
        <is>
          <t>מקטה הודיה</t>
        </is>
      </c>
      <c r="C14" s="3" t="inlineStr">
        <is>
          <t>יא'1</t>
        </is>
      </c>
      <c r="D14" s="3" t="inlineStr">
        <is>
          <t>לא</t>
        </is>
      </c>
      <c r="E14" s="3" t="inlineStr">
        <is>
          <t>לא</t>
        </is>
      </c>
      <c r="F14" s="4" t="n">
        <v>34</v>
      </c>
      <c r="G14" s="7">
        <f>IF(F14="","",100-F14)</f>
        <v/>
      </c>
      <c r="H14" s="4" t="n">
        <v>3</v>
      </c>
      <c r="I14" s="4" t="n">
        <v>5</v>
      </c>
      <c r="J14" s="3" t="inlineStr"/>
    </row>
    <row r="15">
      <c r="A15" s="3" t="inlineStr">
        <is>
          <t>333086700</t>
        </is>
      </c>
      <c r="B15" s="6" t="inlineStr">
        <is>
          <t>נדם דנה</t>
        </is>
      </c>
      <c r="C15" s="3" t="inlineStr">
        <is>
          <t>יא'1</t>
        </is>
      </c>
      <c r="D15" s="3" t="inlineStr">
        <is>
          <t>לא</t>
        </is>
      </c>
      <c r="E15" s="3" t="inlineStr">
        <is>
          <t>לא</t>
        </is>
      </c>
      <c r="F15" s="4" t="n">
        <v>34</v>
      </c>
      <c r="G15" s="7">
        <f>IF(F15="","",100-F15)</f>
        <v/>
      </c>
      <c r="H15" s="4" t="n">
        <v>3</v>
      </c>
      <c r="I15" s="4" t="n">
        <v>4</v>
      </c>
      <c r="J15" s="3" t="inlineStr"/>
    </row>
    <row r="16">
      <c r="A16" s="3" t="inlineStr">
        <is>
          <t>333086718</t>
        </is>
      </c>
      <c r="B16" s="6" t="inlineStr">
        <is>
          <t>נדם עלמה</t>
        </is>
      </c>
      <c r="C16" s="3" t="inlineStr">
        <is>
          <t>יא'1</t>
        </is>
      </c>
      <c r="D16" s="3" t="inlineStr">
        <is>
          <t>לא</t>
        </is>
      </c>
      <c r="E16" s="3" t="inlineStr">
        <is>
          <t>לא</t>
        </is>
      </c>
      <c r="F16" s="4" t="n">
        <v>37</v>
      </c>
      <c r="G16" s="7">
        <f>IF(F16="","",100-F16)</f>
        <v/>
      </c>
      <c r="H16" s="4" t="n">
        <v>3</v>
      </c>
      <c r="I16" s="4" t="n">
        <v>4</v>
      </c>
      <c r="J16" s="3" t="inlineStr"/>
    </row>
    <row r="17">
      <c r="A17" s="3" t="inlineStr">
        <is>
          <t>333139582</t>
        </is>
      </c>
      <c r="B17" s="6" t="inlineStr">
        <is>
          <t>סבג מאי</t>
        </is>
      </c>
      <c r="C17" s="3" t="inlineStr">
        <is>
          <t>יא'1</t>
        </is>
      </c>
      <c r="D17" s="3" t="inlineStr">
        <is>
          <t>לא</t>
        </is>
      </c>
      <c r="E17" s="3" t="inlineStr">
        <is>
          <t>לא</t>
        </is>
      </c>
      <c r="F17" s="4" t="n">
        <v>47</v>
      </c>
      <c r="G17" s="7">
        <f>IF(F17="","",100-F17)</f>
        <v/>
      </c>
      <c r="H17" s="4" t="n">
        <v>3</v>
      </c>
      <c r="I17" s="4" t="n">
        <v>4</v>
      </c>
      <c r="J17" s="3" t="inlineStr"/>
    </row>
    <row r="18">
      <c r="A18" s="3" t="inlineStr">
        <is>
          <t>332006857</t>
        </is>
      </c>
      <c r="B18" s="6" t="inlineStr">
        <is>
          <t>עומסי אור</t>
        </is>
      </c>
      <c r="C18" s="3" t="inlineStr">
        <is>
          <t>יא'1</t>
        </is>
      </c>
      <c r="D18" s="3" t="inlineStr">
        <is>
          <t>לא</t>
        </is>
      </c>
      <c r="E18" s="3" t="inlineStr">
        <is>
          <t>לא</t>
        </is>
      </c>
      <c r="F18" s="4" t="n">
        <v>57</v>
      </c>
      <c r="G18" s="7">
        <f>IF(F18="","",100-F18)</f>
        <v/>
      </c>
      <c r="H18" s="4" t="n">
        <v>3</v>
      </c>
      <c r="I18" s="4" t="n">
        <v>4</v>
      </c>
      <c r="J18" s="3" t="inlineStr"/>
    </row>
    <row r="19">
      <c r="A19" s="3" t="inlineStr">
        <is>
          <t>348419466</t>
        </is>
      </c>
      <c r="B19" s="6" t="inlineStr">
        <is>
          <t>פלוטניקוב פבליה פולינה</t>
        </is>
      </c>
      <c r="C19" s="3" t="inlineStr">
        <is>
          <t>יא'1</t>
        </is>
      </c>
      <c r="D19" s="3" t="inlineStr">
        <is>
          <t>לא</t>
        </is>
      </c>
      <c r="E19" s="3" t="inlineStr">
        <is>
          <t>לא</t>
        </is>
      </c>
      <c r="F19" s="4" t="n">
        <v>6</v>
      </c>
      <c r="G19" s="7">
        <f>IF(F19="","",100-F19)</f>
        <v/>
      </c>
      <c r="H19" s="4" t="n">
        <v>3</v>
      </c>
      <c r="I19" s="4" t="n"/>
      <c r="J19" s="3" t="inlineStr"/>
    </row>
    <row r="20">
      <c r="A20" s="8" t="inlineStr">
        <is>
          <t>333069722</t>
        </is>
      </c>
      <c r="B20" s="9" t="inlineStr">
        <is>
          <t>ארביב יואב</t>
        </is>
      </c>
      <c r="C20" s="8" t="inlineStr">
        <is>
          <t>יא'2</t>
        </is>
      </c>
      <c r="D20" s="8" t="inlineStr">
        <is>
          <t>כן</t>
        </is>
      </c>
      <c r="E20" s="8" t="inlineStr">
        <is>
          <t>לא</t>
        </is>
      </c>
      <c r="F20" s="4" t="n">
        <v>81</v>
      </c>
      <c r="G20" s="7">
        <f>IF(F20="","",100-F20)</f>
        <v/>
      </c>
      <c r="H20" s="4" t="n"/>
      <c r="I20" s="4" t="n">
        <v>4</v>
      </c>
      <c r="J20" s="8" t="inlineStr"/>
    </row>
    <row r="21">
      <c r="A21" s="8" t="inlineStr">
        <is>
          <t>332920156</t>
        </is>
      </c>
      <c r="B21" s="9" t="inlineStr">
        <is>
          <t>יוחנוב ליאור</t>
        </is>
      </c>
      <c r="C21" s="8" t="inlineStr">
        <is>
          <t>יא'2</t>
        </is>
      </c>
      <c r="D21" s="8" t="inlineStr">
        <is>
          <t>כן</t>
        </is>
      </c>
      <c r="E21" s="8" t="inlineStr">
        <is>
          <t>לא</t>
        </is>
      </c>
      <c r="F21" s="4" t="n">
        <v>46</v>
      </c>
      <c r="G21" s="7">
        <f>IF(F21="","",100-F21)</f>
        <v/>
      </c>
      <c r="H21" s="4" t="n"/>
      <c r="I21" s="4" t="n">
        <v>4</v>
      </c>
      <c r="J21" s="8" t="inlineStr"/>
    </row>
    <row r="22">
      <c r="A22" s="8" t="inlineStr">
        <is>
          <t>217978212</t>
        </is>
      </c>
      <c r="B22" s="9" t="inlineStr">
        <is>
          <t>ניסן אורטל</t>
        </is>
      </c>
      <c r="C22" s="8" t="inlineStr">
        <is>
          <t>יא'2</t>
        </is>
      </c>
      <c r="D22" s="8" t="inlineStr">
        <is>
          <t>כן</t>
        </is>
      </c>
      <c r="E22" s="8" t="inlineStr">
        <is>
          <t>לא</t>
        </is>
      </c>
      <c r="F22" s="4" t="n">
        <v>25</v>
      </c>
      <c r="G22" s="7">
        <f>IF(F22="","",100-F22)</f>
        <v/>
      </c>
      <c r="H22" s="4" t="n"/>
      <c r="I22" s="4" t="n">
        <v>4</v>
      </c>
      <c r="J22" s="8" t="inlineStr"/>
    </row>
    <row r="23">
      <c r="A23" s="8" t="inlineStr">
        <is>
          <t>333673523</t>
        </is>
      </c>
      <c r="B23" s="9" t="inlineStr">
        <is>
          <t>סילס שרית רפאלה</t>
        </is>
      </c>
      <c r="C23" s="8" t="inlineStr">
        <is>
          <t>יא'2</t>
        </is>
      </c>
      <c r="D23" s="8" t="inlineStr">
        <is>
          <t>כן</t>
        </is>
      </c>
      <c r="E23" s="8" t="inlineStr">
        <is>
          <t>לא</t>
        </is>
      </c>
      <c r="F23" s="4" t="n">
        <v>61</v>
      </c>
      <c r="G23" s="7">
        <f>IF(F23="","",100-F23)</f>
        <v/>
      </c>
      <c r="H23" s="4" t="n"/>
      <c r="I23" s="4" t="n">
        <v>4</v>
      </c>
      <c r="J23" s="8" t="inlineStr"/>
    </row>
    <row r="24">
      <c r="A24" s="8" t="inlineStr">
        <is>
          <t>333136471</t>
        </is>
      </c>
      <c r="B24" s="9" t="inlineStr">
        <is>
          <t>פיצחדזה ניקול</t>
        </is>
      </c>
      <c r="C24" s="8" t="inlineStr">
        <is>
          <t>יא'2</t>
        </is>
      </c>
      <c r="D24" s="8" t="inlineStr">
        <is>
          <t>כן</t>
        </is>
      </c>
      <c r="E24" s="8" t="inlineStr">
        <is>
          <t>לא</t>
        </is>
      </c>
      <c r="F24" s="4" t="n">
        <v>4</v>
      </c>
      <c r="G24" s="7">
        <f>IF(F24="","",100-F24)</f>
        <v/>
      </c>
      <c r="H24" s="4" t="n"/>
      <c r="I24" s="4" t="n">
        <v>4</v>
      </c>
      <c r="J24" s="8" t="inlineStr"/>
    </row>
    <row r="25">
      <c r="A25" s="8" t="inlineStr">
        <is>
          <t>217998111</t>
        </is>
      </c>
      <c r="B25" s="9" t="inlineStr">
        <is>
          <t>תורן נועם דמיאן</t>
        </is>
      </c>
      <c r="C25" s="8" t="inlineStr">
        <is>
          <t>יא'2</t>
        </is>
      </c>
      <c r="D25" s="8" t="inlineStr">
        <is>
          <t>כן</t>
        </is>
      </c>
      <c r="E25" s="8" t="inlineStr">
        <is>
          <t>לא</t>
        </is>
      </c>
      <c r="F25" s="4" t="n">
        <v>71</v>
      </c>
      <c r="G25" s="7">
        <f>IF(F25="","",100-F25)</f>
        <v/>
      </c>
      <c r="H25" s="4" t="n"/>
      <c r="I25" s="4" t="n">
        <v>4</v>
      </c>
      <c r="J25" s="8" t="inlineStr"/>
    </row>
    <row r="26">
      <c r="A26" s="3" t="inlineStr">
        <is>
          <t>332883990</t>
        </is>
      </c>
      <c r="B26" s="6" t="inlineStr">
        <is>
          <t>אבו חאלד אסיה</t>
        </is>
      </c>
      <c r="C26" s="3" t="inlineStr">
        <is>
          <t>יא'4</t>
        </is>
      </c>
      <c r="D26" s="3" t="inlineStr">
        <is>
          <t>לא</t>
        </is>
      </c>
      <c r="E26" s="3" t="inlineStr">
        <is>
          <t>לא</t>
        </is>
      </c>
      <c r="F26" s="4" t="n">
        <v>19</v>
      </c>
      <c r="G26" s="7">
        <f>IF(F26="","",100-F26)</f>
        <v/>
      </c>
      <c r="H26" s="4" t="n">
        <v>3</v>
      </c>
      <c r="I26" s="4" t="n"/>
      <c r="J26" s="3" t="inlineStr"/>
    </row>
    <row r="27">
      <c r="A27" s="3" t="inlineStr">
        <is>
          <t>218545978</t>
        </is>
      </c>
      <c r="B27" s="6" t="inlineStr">
        <is>
          <t>אברה עילי</t>
        </is>
      </c>
      <c r="C27" s="3" t="inlineStr">
        <is>
          <t>יא'4</t>
        </is>
      </c>
      <c r="D27" s="3" t="inlineStr">
        <is>
          <t>לא</t>
        </is>
      </c>
      <c r="E27" s="3" t="inlineStr">
        <is>
          <t>לא</t>
        </is>
      </c>
      <c r="F27" s="4" t="n">
        <v>33</v>
      </c>
      <c r="G27" s="7">
        <f>IF(F27="","",100-F27)</f>
        <v/>
      </c>
      <c r="H27" s="4" t="n"/>
      <c r="I27" s="4" t="n"/>
      <c r="J27" s="3" t="inlineStr"/>
    </row>
    <row r="28">
      <c r="A28" s="3" t="inlineStr">
        <is>
          <t>333202471</t>
        </is>
      </c>
      <c r="B28" s="6" t="inlineStr">
        <is>
          <t>בכר לליה מליסה</t>
        </is>
      </c>
      <c r="C28" s="3" t="inlineStr">
        <is>
          <t>יא'4</t>
        </is>
      </c>
      <c r="D28" s="3" t="inlineStr">
        <is>
          <t>לא</t>
        </is>
      </c>
      <c r="E28" s="3" t="inlineStr">
        <is>
          <t>לא</t>
        </is>
      </c>
      <c r="F28" s="4" t="n">
        <v>42</v>
      </c>
      <c r="G28" s="7">
        <f>IF(F28="","",100-F28)</f>
        <v/>
      </c>
      <c r="H28" s="4" t="n"/>
      <c r="I28" s="4" t="n"/>
      <c r="J28" s="3" t="inlineStr"/>
    </row>
    <row r="29">
      <c r="A29" s="3" t="inlineStr">
        <is>
          <t>332883065</t>
        </is>
      </c>
      <c r="B29" s="6" t="inlineStr">
        <is>
          <t>בן עמי יהונתן</t>
        </is>
      </c>
      <c r="C29" s="3" t="inlineStr">
        <is>
          <t>יא'4</t>
        </is>
      </c>
      <c r="D29" s="3" t="inlineStr">
        <is>
          <t>לא</t>
        </is>
      </c>
      <c r="E29" s="3" t="inlineStr">
        <is>
          <t>לא</t>
        </is>
      </c>
      <c r="F29" s="4" t="n">
        <v>29</v>
      </c>
      <c r="G29" s="7">
        <f>IF(F29="","",100-F29)</f>
        <v/>
      </c>
      <c r="H29" s="4" t="n"/>
      <c r="I29" s="4" t="n">
        <v>5</v>
      </c>
      <c r="J29" s="3" t="inlineStr"/>
    </row>
    <row r="30">
      <c r="A30" s="3" t="inlineStr">
        <is>
          <t>333167740</t>
        </is>
      </c>
      <c r="B30" s="6" t="inlineStr">
        <is>
          <t>גושן מיכאל</t>
        </is>
      </c>
      <c r="C30" s="3" t="inlineStr">
        <is>
          <t>יא'4</t>
        </is>
      </c>
      <c r="D30" s="3" t="inlineStr">
        <is>
          <t>לא</t>
        </is>
      </c>
      <c r="E30" s="3" t="inlineStr">
        <is>
          <t>לא</t>
        </is>
      </c>
      <c r="F30" s="4" t="n">
        <v>4</v>
      </c>
      <c r="G30" s="7">
        <f>IF(F30="","",100-F30)</f>
        <v/>
      </c>
      <c r="H30" s="4" t="n">
        <v>5</v>
      </c>
      <c r="I30" s="4" t="n">
        <v>5</v>
      </c>
      <c r="J30" s="3" t="inlineStr"/>
    </row>
    <row r="31">
      <c r="A31" s="3" t="inlineStr">
        <is>
          <t>218124535</t>
        </is>
      </c>
      <c r="B31" s="6" t="inlineStr">
        <is>
          <t>טגנה אושר-חימנוט</t>
        </is>
      </c>
      <c r="C31" s="3" t="inlineStr">
        <is>
          <t>יא'4</t>
        </is>
      </c>
      <c r="D31" s="3" t="inlineStr">
        <is>
          <t>לא</t>
        </is>
      </c>
      <c r="E31" s="3" t="inlineStr">
        <is>
          <t>לא</t>
        </is>
      </c>
      <c r="F31" s="4" t="n">
        <v>34</v>
      </c>
      <c r="G31" s="7">
        <f>IF(F31="","",100-F31)</f>
        <v/>
      </c>
      <c r="H31" s="4" t="n">
        <v>4</v>
      </c>
      <c r="I31" s="4" t="n"/>
      <c r="J31" s="3" t="inlineStr"/>
    </row>
    <row r="32">
      <c r="A32" s="3" t="inlineStr">
        <is>
          <t>334230489</t>
        </is>
      </c>
      <c r="B32" s="6" t="inlineStr">
        <is>
          <t>טל אייל</t>
        </is>
      </c>
      <c r="C32" s="3" t="inlineStr">
        <is>
          <t>יא'4</t>
        </is>
      </c>
      <c r="D32" s="3" t="inlineStr">
        <is>
          <t>לא</t>
        </is>
      </c>
      <c r="E32" s="3" t="inlineStr">
        <is>
          <t>לא</t>
        </is>
      </c>
      <c r="F32" s="4" t="n">
        <v>4</v>
      </c>
      <c r="G32" s="7">
        <f>IF(F32="","",100-F32)</f>
        <v/>
      </c>
      <c r="H32" s="4" t="n">
        <v>5</v>
      </c>
      <c r="I32" s="4" t="n"/>
      <c r="J32" s="3" t="inlineStr"/>
    </row>
    <row r="33">
      <c r="A33" s="3" t="inlineStr">
        <is>
          <t>218578367</t>
        </is>
      </c>
      <c r="B33" s="6" t="inlineStr">
        <is>
          <t>ישראל נוגה</t>
        </is>
      </c>
      <c r="C33" s="3" t="inlineStr">
        <is>
          <t>יא'4</t>
        </is>
      </c>
      <c r="D33" s="3" t="inlineStr">
        <is>
          <t>לא</t>
        </is>
      </c>
      <c r="E33" s="3" t="inlineStr">
        <is>
          <t>לא</t>
        </is>
      </c>
      <c r="F33" s="4" t="n">
        <v>73</v>
      </c>
      <c r="G33" s="7">
        <f>IF(F33="","",100-F33)</f>
        <v/>
      </c>
      <c r="H33" s="4" t="n">
        <v>4</v>
      </c>
      <c r="I33" s="4" t="n"/>
      <c r="J33" s="3" t="inlineStr"/>
    </row>
    <row r="34">
      <c r="A34" s="3" t="inlineStr">
        <is>
          <t>337861850</t>
        </is>
      </c>
      <c r="B34" s="6" t="inlineStr">
        <is>
          <t>לבטוב ולדיסלב</t>
        </is>
      </c>
      <c r="C34" s="3" t="inlineStr">
        <is>
          <t>יא'4</t>
        </is>
      </c>
      <c r="D34" s="3" t="inlineStr">
        <is>
          <t>לא</t>
        </is>
      </c>
      <c r="E34" s="3" t="inlineStr">
        <is>
          <t>לא</t>
        </is>
      </c>
      <c r="F34" s="4" t="n">
        <v>28</v>
      </c>
      <c r="G34" s="7">
        <f>IF(F34="","",100-F34)</f>
        <v/>
      </c>
      <c r="H34" s="4" t="n">
        <v>4</v>
      </c>
      <c r="I34" s="4" t="n">
        <v>5</v>
      </c>
      <c r="J34" s="3" t="inlineStr"/>
    </row>
    <row r="35">
      <c r="A35" s="3" t="inlineStr">
        <is>
          <t>218862167</t>
        </is>
      </c>
      <c r="B35" s="6" t="inlineStr">
        <is>
          <t>לוי ליאן</t>
        </is>
      </c>
      <c r="C35" s="3" t="inlineStr">
        <is>
          <t>יא'4</t>
        </is>
      </c>
      <c r="D35" s="3" t="inlineStr">
        <is>
          <t>לא</t>
        </is>
      </c>
      <c r="E35" s="3" t="inlineStr">
        <is>
          <t>לא</t>
        </is>
      </c>
      <c r="F35" s="4" t="n">
        <v>38</v>
      </c>
      <c r="G35" s="7">
        <f>IF(F35="","",100-F35)</f>
        <v/>
      </c>
      <c r="H35" s="4" t="n"/>
      <c r="I35" s="4" t="n">
        <v>5</v>
      </c>
      <c r="J35" s="3" t="inlineStr"/>
    </row>
    <row r="36">
      <c r="A36" s="3" t="inlineStr">
        <is>
          <t>332992031</t>
        </is>
      </c>
      <c r="B36" s="6" t="inlineStr">
        <is>
          <t>מזרחי איתי</t>
        </is>
      </c>
      <c r="C36" s="3" t="inlineStr">
        <is>
          <t>יא'4</t>
        </is>
      </c>
      <c r="D36" s="3" t="inlineStr">
        <is>
          <t>לא</t>
        </is>
      </c>
      <c r="E36" s="3" t="inlineStr">
        <is>
          <t>לא</t>
        </is>
      </c>
      <c r="F36" s="4" t="n">
        <v>20</v>
      </c>
      <c r="G36" s="7">
        <f>IF(F36="","",100-F36)</f>
        <v/>
      </c>
      <c r="H36" s="4" t="n">
        <v>5</v>
      </c>
      <c r="I36" s="4" t="n">
        <v>5</v>
      </c>
      <c r="J36" s="3" t="inlineStr"/>
    </row>
    <row r="37">
      <c r="A37" s="3" t="inlineStr">
        <is>
          <t>333567329</t>
        </is>
      </c>
      <c r="B37" s="6" t="inlineStr">
        <is>
          <t>מיכאלי אביגיל</t>
        </is>
      </c>
      <c r="C37" s="3" t="inlineStr">
        <is>
          <t>יא'4</t>
        </is>
      </c>
      <c r="D37" s="3" t="inlineStr">
        <is>
          <t>לא</t>
        </is>
      </c>
      <c r="E37" s="3" t="inlineStr">
        <is>
          <t>לא</t>
        </is>
      </c>
      <c r="F37" s="4" t="n">
        <v>18</v>
      </c>
      <c r="G37" s="7">
        <f>IF(F37="","",100-F37)</f>
        <v/>
      </c>
      <c r="H37" s="4" t="n">
        <v>5</v>
      </c>
      <c r="I37" s="4" t="n"/>
      <c r="J37" s="3" t="inlineStr"/>
    </row>
    <row r="38">
      <c r="A38" s="3" t="inlineStr">
        <is>
          <t>333628071</t>
        </is>
      </c>
      <c r="B38" s="6" t="inlineStr">
        <is>
          <t>מלדה ינון</t>
        </is>
      </c>
      <c r="C38" s="3" t="inlineStr">
        <is>
          <t>יא'4</t>
        </is>
      </c>
      <c r="D38" s="3" t="inlineStr">
        <is>
          <t>לא</t>
        </is>
      </c>
      <c r="E38" s="3" t="inlineStr">
        <is>
          <t>לא</t>
        </is>
      </c>
      <c r="F38" s="4" t="n">
        <v>24</v>
      </c>
      <c r="G38" s="7">
        <f>IF(F38="","",100-F38)</f>
        <v/>
      </c>
      <c r="H38" s="4" t="n">
        <v>4</v>
      </c>
      <c r="I38" s="4" t="n">
        <v>5</v>
      </c>
      <c r="J38" s="3" t="inlineStr"/>
    </row>
    <row r="39">
      <c r="A39" s="3" t="inlineStr">
        <is>
          <t>218147452</t>
        </is>
      </c>
      <c r="B39" s="6" t="inlineStr">
        <is>
          <t>מקונן שירה</t>
        </is>
      </c>
      <c r="C39" s="3" t="inlineStr">
        <is>
          <t>יא'4</t>
        </is>
      </c>
      <c r="D39" s="3" t="inlineStr">
        <is>
          <t>לא</t>
        </is>
      </c>
      <c r="E39" s="3" t="inlineStr">
        <is>
          <t>לא</t>
        </is>
      </c>
      <c r="F39" s="4" t="n">
        <v>36</v>
      </c>
      <c r="G39" s="7">
        <f>IF(F39="","",100-F39)</f>
        <v/>
      </c>
      <c r="H39" s="4" t="n">
        <v>3</v>
      </c>
      <c r="I39" s="4" t="n">
        <v>5</v>
      </c>
      <c r="J39" s="3" t="inlineStr"/>
    </row>
    <row r="40">
      <c r="A40" s="3" t="inlineStr">
        <is>
          <t>333762920</t>
        </is>
      </c>
      <c r="B40" s="6" t="inlineStr">
        <is>
          <t>מקטה הודיה</t>
        </is>
      </c>
      <c r="C40" s="3" t="inlineStr">
        <is>
          <t>יא'4</t>
        </is>
      </c>
      <c r="D40" s="3" t="inlineStr">
        <is>
          <t>לא</t>
        </is>
      </c>
      <c r="E40" s="3" t="inlineStr">
        <is>
          <t>לא</t>
        </is>
      </c>
      <c r="F40" s="4" t="n">
        <v>34</v>
      </c>
      <c r="G40" s="7">
        <f>IF(F40="","",100-F40)</f>
        <v/>
      </c>
      <c r="H40" s="4" t="n">
        <v>3</v>
      </c>
      <c r="I40" s="4" t="n">
        <v>5</v>
      </c>
      <c r="J40" s="3" t="inlineStr"/>
    </row>
    <row r="41">
      <c r="A41" s="3" t="inlineStr">
        <is>
          <t>218724177</t>
        </is>
      </c>
      <c r="B41" s="6" t="inlineStr">
        <is>
          <t>מתתיהו רומי</t>
        </is>
      </c>
      <c r="C41" s="3" t="inlineStr">
        <is>
          <t>יא'4</t>
        </is>
      </c>
      <c r="D41" s="3" t="inlineStr">
        <is>
          <t>לא</t>
        </is>
      </c>
      <c r="E41" s="3" t="inlineStr">
        <is>
          <t>לא</t>
        </is>
      </c>
      <c r="F41" s="4" t="n">
        <v>42</v>
      </c>
      <c r="G41" s="7">
        <f>IF(F41="","",100-F41)</f>
        <v/>
      </c>
      <c r="H41" s="4" t="n">
        <v>5</v>
      </c>
      <c r="I41" s="4" t="n">
        <v>5</v>
      </c>
      <c r="J41" s="3" t="inlineStr"/>
    </row>
    <row r="42">
      <c r="A42" s="3" t="inlineStr">
        <is>
          <t>333212785</t>
        </is>
      </c>
      <c r="B42" s="6" t="inlineStr">
        <is>
          <t>נגבקר אור</t>
        </is>
      </c>
      <c r="C42" s="3" t="inlineStr">
        <is>
          <t>יא'4</t>
        </is>
      </c>
      <c r="D42" s="3" t="inlineStr">
        <is>
          <t>לא</t>
        </is>
      </c>
      <c r="E42" s="3" t="inlineStr">
        <is>
          <t>לא</t>
        </is>
      </c>
      <c r="F42" s="4" t="n">
        <v>46</v>
      </c>
      <c r="G42" s="7">
        <f>IF(F42="","",100-F42)</f>
        <v/>
      </c>
      <c r="H42" s="4" t="n"/>
      <c r="I42" s="4" t="n">
        <v>5</v>
      </c>
      <c r="J42" s="3" t="inlineStr"/>
    </row>
    <row r="43">
      <c r="A43" s="3" t="inlineStr">
        <is>
          <t>333136463</t>
        </is>
      </c>
      <c r="B43" s="6" t="inlineStr">
        <is>
          <t>פיצחדזה ניקה</t>
        </is>
      </c>
      <c r="C43" s="3" t="inlineStr">
        <is>
          <t>יא'4</t>
        </is>
      </c>
      <c r="D43" s="3" t="inlineStr">
        <is>
          <t>לא</t>
        </is>
      </c>
      <c r="E43" s="3" t="inlineStr">
        <is>
          <t>לא</t>
        </is>
      </c>
      <c r="F43" s="4" t="n">
        <v>8</v>
      </c>
      <c r="G43" s="7">
        <f>IF(F43="","",100-F43)</f>
        <v/>
      </c>
      <c r="H43" s="4" t="n">
        <v>3</v>
      </c>
      <c r="I43" s="4" t="n">
        <v>4</v>
      </c>
      <c r="J43" s="3" t="inlineStr"/>
    </row>
    <row r="44">
      <c r="A44" s="3" t="inlineStr">
        <is>
          <t>339739120</t>
        </is>
      </c>
      <c r="B44" s="6" t="inlineStr">
        <is>
          <t>קורונל טליס מטאו אומר</t>
        </is>
      </c>
      <c r="C44" s="3" t="inlineStr">
        <is>
          <t>יא'4</t>
        </is>
      </c>
      <c r="D44" s="3" t="inlineStr">
        <is>
          <t>לא</t>
        </is>
      </c>
      <c r="E44" s="3" t="inlineStr">
        <is>
          <t>לא</t>
        </is>
      </c>
      <c r="F44" s="4" t="n">
        <v>40</v>
      </c>
      <c r="G44" s="7">
        <f>IF(F44="","",100-F44)</f>
        <v/>
      </c>
      <c r="H44" s="4" t="n"/>
      <c r="I44" s="4" t="n"/>
      <c r="J44" s="3" t="inlineStr"/>
    </row>
    <row r="45">
      <c r="A45" s="3" t="inlineStr">
        <is>
          <t>217815885</t>
        </is>
      </c>
      <c r="B45" s="6" t="inlineStr">
        <is>
          <t>רובינוב אנה</t>
        </is>
      </c>
      <c r="C45" s="3" t="inlineStr">
        <is>
          <t>יא'4</t>
        </is>
      </c>
      <c r="D45" s="3" t="inlineStr">
        <is>
          <t>לא</t>
        </is>
      </c>
      <c r="E45" s="3" t="inlineStr">
        <is>
          <t>לא</t>
        </is>
      </c>
      <c r="F45" s="4" t="n">
        <v>35</v>
      </c>
      <c r="G45" s="7">
        <f>IF(F45="","",100-F45)</f>
        <v/>
      </c>
      <c r="H45" s="4" t="n"/>
      <c r="I45" s="4" t="n"/>
      <c r="J45" s="3" t="inlineStr"/>
    </row>
    <row r="46">
      <c r="A46" s="8" t="inlineStr">
        <is>
          <t>327790028</t>
        </is>
      </c>
      <c r="B46" s="9" t="inlineStr">
        <is>
          <t>אבו פני אדהם</t>
        </is>
      </c>
      <c r="C46" s="8" t="inlineStr">
        <is>
          <t>יא'5</t>
        </is>
      </c>
      <c r="D46" s="8" t="inlineStr">
        <is>
          <t>כן</t>
        </is>
      </c>
      <c r="E46" s="8" t="inlineStr">
        <is>
          <t>לא</t>
        </is>
      </c>
      <c r="F46" s="4" t="n">
        <v>12</v>
      </c>
      <c r="G46" s="7">
        <f>IF(F46="","",100-F46)</f>
        <v/>
      </c>
      <c r="H46" s="4" t="n">
        <v>4</v>
      </c>
      <c r="I46" s="4" t="n"/>
      <c r="J46" s="8" t="inlineStr"/>
    </row>
    <row r="47">
      <c r="A47" s="3" t="inlineStr">
        <is>
          <t>218413235</t>
        </is>
      </c>
      <c r="B47" s="6" t="inlineStr">
        <is>
          <t>אדרי יוסף חיים</t>
        </is>
      </c>
      <c r="C47" s="3" t="inlineStr">
        <is>
          <t>יא'5</t>
        </is>
      </c>
      <c r="D47" s="3" t="inlineStr">
        <is>
          <t>לא</t>
        </is>
      </c>
      <c r="E47" s="3" t="inlineStr">
        <is>
          <t>לא</t>
        </is>
      </c>
      <c r="F47" s="4" t="n">
        <v>75</v>
      </c>
      <c r="G47" s="7">
        <f>IF(F47="","",100-F47)</f>
        <v/>
      </c>
      <c r="H47" s="4" t="n">
        <v>3</v>
      </c>
      <c r="I47" s="4" t="n">
        <v>5</v>
      </c>
      <c r="J47" s="3" t="inlineStr"/>
    </row>
    <row r="48">
      <c r="A48" s="3" t="inlineStr">
        <is>
          <t>331828137</t>
        </is>
      </c>
      <c r="B48" s="6" t="inlineStr">
        <is>
          <t>אהרון נהוראי מאיר</t>
        </is>
      </c>
      <c r="C48" s="3" t="inlineStr">
        <is>
          <t>יא'5</t>
        </is>
      </c>
      <c r="D48" s="3" t="inlineStr">
        <is>
          <t>לא</t>
        </is>
      </c>
      <c r="E48" s="3" t="inlineStr">
        <is>
          <t>לא</t>
        </is>
      </c>
      <c r="F48" s="4" t="n">
        <v>85</v>
      </c>
      <c r="G48" s="7">
        <f>IF(F48="","",100-F48)</f>
        <v/>
      </c>
      <c r="H48" s="4" t="n"/>
      <c r="I48" s="4" t="n">
        <v>4</v>
      </c>
      <c r="J48" s="3" t="inlineStr"/>
    </row>
    <row r="49">
      <c r="A49" s="3" t="inlineStr">
        <is>
          <t>333022994</t>
        </is>
      </c>
      <c r="B49" s="6" t="inlineStr">
        <is>
          <t>אמברבר מעיין</t>
        </is>
      </c>
      <c r="C49" s="3" t="inlineStr">
        <is>
          <t>יא'5</t>
        </is>
      </c>
      <c r="D49" s="3" t="inlineStr">
        <is>
          <t>לא</t>
        </is>
      </c>
      <c r="E49" s="3" t="inlineStr">
        <is>
          <t>לא</t>
        </is>
      </c>
      <c r="F49" s="4" t="n">
        <v>49</v>
      </c>
      <c r="G49" s="7">
        <f>IF(F49="","",100-F49)</f>
        <v/>
      </c>
      <c r="H49" s="4" t="n">
        <v>3</v>
      </c>
      <c r="I49" s="4" t="n">
        <v>4</v>
      </c>
      <c r="J49" s="3" t="inlineStr"/>
    </row>
    <row r="50">
      <c r="A50" s="3" t="inlineStr">
        <is>
          <t>217817220</t>
        </is>
      </c>
      <c r="B50" s="6" t="inlineStr">
        <is>
          <t>ביטאו עילאי</t>
        </is>
      </c>
      <c r="C50" s="3" t="inlineStr">
        <is>
          <t>יא'5</t>
        </is>
      </c>
      <c r="D50" s="3" t="inlineStr">
        <is>
          <t>לא</t>
        </is>
      </c>
      <c r="E50" s="3" t="inlineStr">
        <is>
          <t>לא</t>
        </is>
      </c>
      <c r="F50" s="4" t="n">
        <v>25</v>
      </c>
      <c r="G50" s="7">
        <f>IF(F50="","",100-F50)</f>
        <v/>
      </c>
      <c r="H50" s="4" t="n"/>
      <c r="I50" s="4" t="n">
        <v>5</v>
      </c>
      <c r="J50" s="3" t="inlineStr"/>
    </row>
    <row r="51">
      <c r="A51" s="3" t="inlineStr">
        <is>
          <t>217939529</t>
        </is>
      </c>
      <c r="B51" s="6" t="inlineStr">
        <is>
          <t>בן זיקרי ינון</t>
        </is>
      </c>
      <c r="C51" s="3" t="inlineStr">
        <is>
          <t>יא'5</t>
        </is>
      </c>
      <c r="D51" s="3" t="inlineStr">
        <is>
          <t>לא</t>
        </is>
      </c>
      <c r="E51" s="3" t="inlineStr">
        <is>
          <t>לא</t>
        </is>
      </c>
      <c r="F51" s="4" t="n">
        <v>84</v>
      </c>
      <c r="G51" s="7">
        <f>IF(F51="","",100-F51)</f>
        <v/>
      </c>
      <c r="H51" s="4" t="n"/>
      <c r="I51" s="4" t="n">
        <v>4</v>
      </c>
      <c r="J51" s="3" t="inlineStr"/>
    </row>
    <row r="52">
      <c r="A52" s="3" t="inlineStr">
        <is>
          <t>333620128</t>
        </is>
      </c>
      <c r="B52" s="6" t="inlineStr">
        <is>
          <t>בן יוסף נועה</t>
        </is>
      </c>
      <c r="C52" s="3" t="inlineStr">
        <is>
          <t>יא'5</t>
        </is>
      </c>
      <c r="D52" s="3" t="inlineStr">
        <is>
          <t>לא</t>
        </is>
      </c>
      <c r="E52" s="3" t="inlineStr">
        <is>
          <t>לא</t>
        </is>
      </c>
      <c r="F52" s="4" t="n">
        <v>81</v>
      </c>
      <c r="G52" s="7">
        <f>IF(F52="","",100-F52)</f>
        <v/>
      </c>
      <c r="H52" s="4" t="n">
        <v>3</v>
      </c>
      <c r="I52" s="4" t="n">
        <v>4</v>
      </c>
      <c r="J52" s="3" t="inlineStr"/>
    </row>
    <row r="53">
      <c r="A53" s="3" t="inlineStr">
        <is>
          <t>333295343</t>
        </is>
      </c>
      <c r="B53" s="6" t="inlineStr">
        <is>
          <t>גואיטה אגם</t>
        </is>
      </c>
      <c r="C53" s="3" t="inlineStr">
        <is>
          <t>יא'5</t>
        </is>
      </c>
      <c r="D53" s="3" t="inlineStr">
        <is>
          <t>לא</t>
        </is>
      </c>
      <c r="E53" s="3" t="inlineStr">
        <is>
          <t>לא</t>
        </is>
      </c>
      <c r="F53" s="4" t="n">
        <v>12</v>
      </c>
      <c r="G53" s="7">
        <f>IF(F53="","",100-F53)</f>
        <v/>
      </c>
      <c r="H53" s="4" t="n">
        <v>4</v>
      </c>
      <c r="I53" s="4" t="n">
        <v>5</v>
      </c>
      <c r="J53" s="3" t="inlineStr"/>
    </row>
    <row r="54">
      <c r="A54" s="3" t="inlineStr">
        <is>
          <t>218778124</t>
        </is>
      </c>
      <c r="B54" s="6" t="inlineStr">
        <is>
          <t>הופס מי-דן דאר</t>
        </is>
      </c>
      <c r="C54" s="3" t="inlineStr">
        <is>
          <t>יא'5</t>
        </is>
      </c>
      <c r="D54" s="3" t="inlineStr">
        <is>
          <t>לא</t>
        </is>
      </c>
      <c r="E54" s="3" t="inlineStr">
        <is>
          <t>לא</t>
        </is>
      </c>
      <c r="F54" s="4" t="n">
        <v>64</v>
      </c>
      <c r="G54" s="7">
        <f>IF(F54="","",100-F54)</f>
        <v/>
      </c>
      <c r="H54" s="4" t="n">
        <v>3</v>
      </c>
      <c r="I54" s="4" t="n">
        <v>4</v>
      </c>
      <c r="J54" s="3" t="inlineStr"/>
    </row>
    <row r="55">
      <c r="A55" s="3" t="inlineStr">
        <is>
          <t>333171304</t>
        </is>
      </c>
      <c r="B55" s="6" t="inlineStr">
        <is>
          <t>טל-אור ליה</t>
        </is>
      </c>
      <c r="C55" s="3" t="inlineStr">
        <is>
          <t>יא'5</t>
        </is>
      </c>
      <c r="D55" s="3" t="inlineStr">
        <is>
          <t>לא</t>
        </is>
      </c>
      <c r="E55" s="3" t="inlineStr">
        <is>
          <t>לא</t>
        </is>
      </c>
      <c r="F55" s="4" t="n">
        <v>12</v>
      </c>
      <c r="G55" s="7">
        <f>IF(F55="","",100-F55)</f>
        <v/>
      </c>
      <c r="H55" s="4" t="n">
        <v>3</v>
      </c>
      <c r="I55" s="4" t="n">
        <v>5</v>
      </c>
      <c r="J55" s="3" t="inlineStr"/>
    </row>
    <row r="56">
      <c r="A56" s="3" t="inlineStr">
        <is>
          <t>333760544</t>
        </is>
      </c>
      <c r="B56" s="6" t="inlineStr">
        <is>
          <t>כהן אפק</t>
        </is>
      </c>
      <c r="C56" s="3" t="inlineStr">
        <is>
          <t>יא'5</t>
        </is>
      </c>
      <c r="D56" s="3" t="inlineStr">
        <is>
          <t>לא</t>
        </is>
      </c>
      <c r="E56" s="3" t="inlineStr">
        <is>
          <t>לא</t>
        </is>
      </c>
      <c r="F56" s="4" t="n">
        <v>9</v>
      </c>
      <c r="G56" s="7">
        <f>IF(F56="","",100-F56)</f>
        <v/>
      </c>
      <c r="H56" s="4" t="n">
        <v>3</v>
      </c>
      <c r="I56" s="4" t="n">
        <v>4</v>
      </c>
      <c r="J56" s="3" t="inlineStr"/>
    </row>
    <row r="57">
      <c r="A57" s="3" t="inlineStr">
        <is>
          <t>312399801</t>
        </is>
      </c>
      <c r="B57" s="6" t="inlineStr">
        <is>
          <t>כהן נופר</t>
        </is>
      </c>
      <c r="C57" s="3" t="inlineStr">
        <is>
          <t>יא'5</t>
        </is>
      </c>
      <c r="D57" s="3" t="inlineStr">
        <is>
          <t>לא</t>
        </is>
      </c>
      <c r="E57" s="3" t="inlineStr">
        <is>
          <t>לא</t>
        </is>
      </c>
      <c r="F57" s="4" t="n">
        <v>20</v>
      </c>
      <c r="G57" s="7">
        <f>IF(F57="","",100-F57)</f>
        <v/>
      </c>
      <c r="H57" s="4" t="n">
        <v>3</v>
      </c>
      <c r="I57" s="4" t="n">
        <v>5</v>
      </c>
      <c r="J57" s="3" t="inlineStr"/>
    </row>
    <row r="58">
      <c r="A58" s="3" t="inlineStr">
        <is>
          <t>332540202</t>
        </is>
      </c>
      <c r="B58" s="6" t="inlineStr">
        <is>
          <t>לרדו אגתה</t>
        </is>
      </c>
      <c r="C58" s="3" t="inlineStr">
        <is>
          <t>יא'5</t>
        </is>
      </c>
      <c r="D58" s="3" t="inlineStr">
        <is>
          <t>לא</t>
        </is>
      </c>
      <c r="E58" s="3" t="inlineStr">
        <is>
          <t>לא</t>
        </is>
      </c>
      <c r="F58" s="4" t="n">
        <v>23</v>
      </c>
      <c r="G58" s="7">
        <f>IF(F58="","",100-F58)</f>
        <v/>
      </c>
      <c r="H58" s="4" t="n"/>
      <c r="I58" s="4" t="n"/>
      <c r="J58" s="3" t="inlineStr"/>
    </row>
    <row r="59">
      <c r="A59" s="3" t="inlineStr">
        <is>
          <t>333169514</t>
        </is>
      </c>
      <c r="B59" s="6" t="inlineStr">
        <is>
          <t>מלכה רפאל שלום</t>
        </is>
      </c>
      <c r="C59" s="3" t="inlineStr">
        <is>
          <t>יא'5</t>
        </is>
      </c>
      <c r="D59" s="3" t="inlineStr">
        <is>
          <t>לא</t>
        </is>
      </c>
      <c r="E59" s="3" t="inlineStr">
        <is>
          <t>לא</t>
        </is>
      </c>
      <c r="F59" s="4" t="n">
        <v>45</v>
      </c>
      <c r="G59" s="7">
        <f>IF(F59="","",100-F59)</f>
        <v/>
      </c>
      <c r="H59" s="4" t="n"/>
      <c r="I59" s="4" t="n">
        <v>4</v>
      </c>
      <c r="J59" s="3" t="inlineStr"/>
    </row>
    <row r="60">
      <c r="A60" s="8" t="inlineStr">
        <is>
          <t>332893213</t>
        </is>
      </c>
      <c r="B60" s="9" t="inlineStr">
        <is>
          <t>מעטי אוריה</t>
        </is>
      </c>
      <c r="C60" s="8" t="inlineStr">
        <is>
          <t>יא'5</t>
        </is>
      </c>
      <c r="D60" s="8" t="inlineStr">
        <is>
          <t>כן</t>
        </is>
      </c>
      <c r="E60" s="8" t="inlineStr">
        <is>
          <t>לא</t>
        </is>
      </c>
      <c r="F60" s="4" t="n">
        <v>45</v>
      </c>
      <c r="G60" s="7">
        <f>IF(F60="","",100-F60)</f>
        <v/>
      </c>
      <c r="H60" s="4" t="n">
        <v>3</v>
      </c>
      <c r="I60" s="4" t="n">
        <v>4</v>
      </c>
      <c r="J60" s="8" t="inlineStr"/>
    </row>
    <row r="61">
      <c r="A61" s="3" t="inlineStr">
        <is>
          <t>333139574</t>
        </is>
      </c>
      <c r="B61" s="6" t="inlineStr">
        <is>
          <t>סבג רומי אור</t>
        </is>
      </c>
      <c r="C61" s="3" t="inlineStr">
        <is>
          <t>יא'5</t>
        </is>
      </c>
      <c r="D61" s="3" t="inlineStr">
        <is>
          <t>לא</t>
        </is>
      </c>
      <c r="E61" s="3" t="inlineStr">
        <is>
          <t>לא</t>
        </is>
      </c>
      <c r="F61" s="4" t="n">
        <v>29</v>
      </c>
      <c r="G61" s="7">
        <f>IF(F61="","",100-F61)</f>
        <v/>
      </c>
      <c r="H61" s="4" t="n">
        <v>3</v>
      </c>
      <c r="I61" s="4" t="n">
        <v>4</v>
      </c>
      <c r="J61" s="3" t="inlineStr"/>
    </row>
    <row r="62">
      <c r="A62" s="3" t="inlineStr"/>
      <c r="B62" s="6" t="inlineStr">
        <is>
          <t>סויסה אלין</t>
        </is>
      </c>
      <c r="C62" s="3" t="inlineStr">
        <is>
          <t>יא'5</t>
        </is>
      </c>
      <c r="D62" s="3" t="inlineStr">
        <is>
          <t>לא</t>
        </is>
      </c>
      <c r="E62" s="3" t="inlineStr">
        <is>
          <t>כן</t>
        </is>
      </c>
      <c r="F62" s="4" t="n">
        <v>1</v>
      </c>
      <c r="G62" s="7">
        <f>IF(F62="","",100-F62)</f>
        <v/>
      </c>
      <c r="H62" s="4" t="n">
        <v>3</v>
      </c>
      <c r="I62" s="4" t="n"/>
      <c r="J62" s="3" t="inlineStr">
        <is>
          <t>הצטרף/ה מאוחר — לא ניגש/ה ללשון</t>
        </is>
      </c>
    </row>
    <row r="63">
      <c r="A63" s="3" t="inlineStr"/>
      <c r="B63" s="6" t="inlineStr">
        <is>
          <t>סרסור יסמינה</t>
        </is>
      </c>
      <c r="C63" s="3" t="inlineStr">
        <is>
          <t>יא'5</t>
        </is>
      </c>
      <c r="D63" s="3" t="inlineStr">
        <is>
          <t>לא</t>
        </is>
      </c>
      <c r="E63" s="3" t="inlineStr">
        <is>
          <t>לא</t>
        </is>
      </c>
      <c r="F63" s="4" t="n">
        <v>45</v>
      </c>
      <c r="G63" s="7">
        <f>IF(F63="","",100-F63)</f>
        <v/>
      </c>
      <c r="H63" s="4" t="n"/>
      <c r="I63" s="4" t="n">
        <v>5</v>
      </c>
      <c r="J63" s="3" t="inlineStr"/>
    </row>
    <row r="64">
      <c r="A64" s="3" t="inlineStr">
        <is>
          <t>217425321</t>
        </is>
      </c>
      <c r="B64" s="6" t="inlineStr">
        <is>
          <t>צריקר נועם</t>
        </is>
      </c>
      <c r="C64" s="3" t="inlineStr">
        <is>
          <t>יא'5</t>
        </is>
      </c>
      <c r="D64" s="3" t="inlineStr">
        <is>
          <t>לא</t>
        </is>
      </c>
      <c r="E64" s="3" t="inlineStr">
        <is>
          <t>לא</t>
        </is>
      </c>
      <c r="F64" s="4" t="n">
        <v>13</v>
      </c>
      <c r="G64" s="7">
        <f>IF(F64="","",100-F64)</f>
        <v/>
      </c>
      <c r="H64" s="4" t="n">
        <v>3</v>
      </c>
      <c r="I64" s="4" t="n">
        <v>5</v>
      </c>
      <c r="J64" s="3" t="inlineStr"/>
    </row>
    <row r="65">
      <c r="A65" s="3" t="inlineStr"/>
      <c r="B65" s="6" t="inlineStr">
        <is>
          <t>קונטררס קריא אילנה ולנטינה</t>
        </is>
      </c>
      <c r="C65" s="3" t="inlineStr">
        <is>
          <t>יא'5</t>
        </is>
      </c>
      <c r="D65" s="3" t="inlineStr">
        <is>
          <t>לא</t>
        </is>
      </c>
      <c r="E65" s="3" t="inlineStr">
        <is>
          <t>לא</t>
        </is>
      </c>
      <c r="F65" s="4" t="n">
        <v>20</v>
      </c>
      <c r="G65" s="7">
        <f>IF(F65="","",100-F65)</f>
        <v/>
      </c>
      <c r="H65" s="4" t="n">
        <v>3</v>
      </c>
      <c r="I65" s="4" t="n"/>
      <c r="J65" s="3" t="inlineStr"/>
    </row>
    <row r="66">
      <c r="A66" s="3" t="inlineStr">
        <is>
          <t>333183259</t>
        </is>
      </c>
      <c r="B66" s="6" t="inlineStr">
        <is>
          <t>רוי אמיליה</t>
        </is>
      </c>
      <c r="C66" s="3" t="inlineStr">
        <is>
          <t>יא'5</t>
        </is>
      </c>
      <c r="D66" s="3" t="inlineStr">
        <is>
          <t>לא</t>
        </is>
      </c>
      <c r="E66" s="3" t="inlineStr">
        <is>
          <t>לא</t>
        </is>
      </c>
      <c r="F66" s="4" t="n">
        <v>6</v>
      </c>
      <c r="G66" s="7">
        <f>IF(F66="","",100-F66)</f>
        <v/>
      </c>
      <c r="H66" s="4" t="n">
        <v>3</v>
      </c>
      <c r="I66" s="4" t="n"/>
      <c r="J66" s="3" t="inlineStr"/>
    </row>
    <row r="67">
      <c r="A67" s="3" t="inlineStr">
        <is>
          <t>333060366</t>
        </is>
      </c>
      <c r="B67" s="6" t="inlineStr">
        <is>
          <t>שטר אפרת דבורה</t>
        </is>
      </c>
      <c r="C67" s="3" t="inlineStr">
        <is>
          <t>יא'5</t>
        </is>
      </c>
      <c r="D67" s="3" t="inlineStr">
        <is>
          <t>לא</t>
        </is>
      </c>
      <c r="E67" s="3" t="inlineStr">
        <is>
          <t>לא</t>
        </is>
      </c>
      <c r="F67" s="4" t="n">
        <v>16</v>
      </c>
      <c r="G67" s="7">
        <f>IF(F67="","",100-F67)</f>
        <v/>
      </c>
      <c r="H67" s="4" t="n"/>
      <c r="I67" s="4" t="n">
        <v>4</v>
      </c>
      <c r="J67" s="3" t="inlineStr"/>
    </row>
    <row r="68">
      <c r="A68" s="3" t="inlineStr">
        <is>
          <t>217807361</t>
        </is>
      </c>
      <c r="B68" s="6" t="inlineStr">
        <is>
          <t>בן עטר ארד</t>
        </is>
      </c>
      <c r="C68" s="3" t="inlineStr">
        <is>
          <t>יא'6</t>
        </is>
      </c>
      <c r="D68" s="3" t="inlineStr">
        <is>
          <t>לא</t>
        </is>
      </c>
      <c r="E68" s="3" t="inlineStr">
        <is>
          <t>לא</t>
        </is>
      </c>
      <c r="F68" s="4" t="n">
        <v>35</v>
      </c>
      <c r="G68" s="7">
        <f>IF(F68="","",100-F68)</f>
        <v/>
      </c>
      <c r="H68" s="4" t="n">
        <v>5</v>
      </c>
      <c r="I68" s="4" t="n">
        <v>5</v>
      </c>
      <c r="J68" s="3" t="inlineStr"/>
    </row>
    <row r="69">
      <c r="A69" s="3" t="inlineStr">
        <is>
          <t>333693950</t>
        </is>
      </c>
      <c r="B69" s="6" t="inlineStr">
        <is>
          <t>בן-יצחק יובל</t>
        </is>
      </c>
      <c r="C69" s="3" t="inlineStr">
        <is>
          <t>יא'6</t>
        </is>
      </c>
      <c r="D69" s="3" t="inlineStr">
        <is>
          <t>לא</t>
        </is>
      </c>
      <c r="E69" s="3" t="inlineStr">
        <is>
          <t>לא</t>
        </is>
      </c>
      <c r="F69" s="4" t="n">
        <v>19</v>
      </c>
      <c r="G69" s="7">
        <f>IF(F69="","",100-F69)</f>
        <v/>
      </c>
      <c r="H69" s="4" t="n"/>
      <c r="I69" s="4" t="n">
        <v>5</v>
      </c>
      <c r="J69" s="3" t="inlineStr"/>
    </row>
    <row r="70">
      <c r="A70" s="3" t="inlineStr">
        <is>
          <t>218068807</t>
        </is>
      </c>
      <c r="B70" s="6" t="inlineStr">
        <is>
          <t>גבאי שגב</t>
        </is>
      </c>
      <c r="C70" s="3" t="inlineStr">
        <is>
          <t>יא'6</t>
        </is>
      </c>
      <c r="D70" s="3" t="inlineStr">
        <is>
          <t>לא</t>
        </is>
      </c>
      <c r="E70" s="3" t="inlineStr">
        <is>
          <t>לא</t>
        </is>
      </c>
      <c r="F70" s="4" t="n">
        <v>20</v>
      </c>
      <c r="G70" s="7">
        <f>IF(F70="","",100-F70)</f>
        <v/>
      </c>
      <c r="H70" s="4" t="n">
        <v>5</v>
      </c>
      <c r="I70" s="4" t="n">
        <v>4</v>
      </c>
      <c r="J70" s="3" t="inlineStr"/>
    </row>
    <row r="71">
      <c r="A71" s="3" t="inlineStr">
        <is>
          <t>218773927</t>
        </is>
      </c>
      <c r="B71" s="6" t="inlineStr">
        <is>
          <t>גולדנברג שי-אל פריידה</t>
        </is>
      </c>
      <c r="C71" s="3" t="inlineStr">
        <is>
          <t>יא'6</t>
        </is>
      </c>
      <c r="D71" s="3" t="inlineStr">
        <is>
          <t>לא</t>
        </is>
      </c>
      <c r="E71" s="3" t="inlineStr">
        <is>
          <t>לא</t>
        </is>
      </c>
      <c r="F71" s="4" t="n">
        <v>23</v>
      </c>
      <c r="G71" s="7">
        <f>IF(F71="","",100-F71)</f>
        <v/>
      </c>
      <c r="H71" s="4" t="n">
        <v>5</v>
      </c>
      <c r="I71" s="4" t="n">
        <v>5</v>
      </c>
      <c r="J71" s="3" t="inlineStr"/>
    </row>
    <row r="72">
      <c r="A72" s="3" t="inlineStr">
        <is>
          <t>218914430</t>
        </is>
      </c>
      <c r="B72" s="6" t="inlineStr">
        <is>
          <t>דורי אלה</t>
        </is>
      </c>
      <c r="C72" s="3" t="inlineStr">
        <is>
          <t>יא'6</t>
        </is>
      </c>
      <c r="D72" s="3" t="inlineStr">
        <is>
          <t>לא</t>
        </is>
      </c>
      <c r="E72" s="3" t="inlineStr">
        <is>
          <t>לא</t>
        </is>
      </c>
      <c r="F72" s="4" t="n">
        <v>31</v>
      </c>
      <c r="G72" s="7">
        <f>IF(F72="","",100-F72)</f>
        <v/>
      </c>
      <c r="H72" s="4" t="n">
        <v>5</v>
      </c>
      <c r="I72" s="4" t="n">
        <v>5</v>
      </c>
      <c r="J72" s="3" t="inlineStr"/>
    </row>
    <row r="73">
      <c r="A73" s="3" t="inlineStr">
        <is>
          <t>217885219</t>
        </is>
      </c>
      <c r="B73" s="6" t="inlineStr">
        <is>
          <t>דקל טומי</t>
        </is>
      </c>
      <c r="C73" s="3" t="inlineStr">
        <is>
          <t>יא'6</t>
        </is>
      </c>
      <c r="D73" s="3" t="inlineStr">
        <is>
          <t>לא</t>
        </is>
      </c>
      <c r="E73" s="3" t="inlineStr">
        <is>
          <t>לא</t>
        </is>
      </c>
      <c r="F73" s="4" t="n">
        <v>30</v>
      </c>
      <c r="G73" s="7">
        <f>IF(F73="","",100-F73)</f>
        <v/>
      </c>
      <c r="H73" s="4" t="n">
        <v>3</v>
      </c>
      <c r="I73" s="4" t="n">
        <v>5</v>
      </c>
      <c r="J73" s="3" t="inlineStr"/>
    </row>
    <row r="74">
      <c r="A74" s="3" t="inlineStr">
        <is>
          <t>334125614</t>
        </is>
      </c>
      <c r="B74" s="6" t="inlineStr">
        <is>
          <t>וקנין הלל</t>
        </is>
      </c>
      <c r="C74" s="3" t="inlineStr">
        <is>
          <t>יא'6</t>
        </is>
      </c>
      <c r="D74" s="3" t="inlineStr">
        <is>
          <t>לא</t>
        </is>
      </c>
      <c r="E74" s="3" t="inlineStr">
        <is>
          <t>לא</t>
        </is>
      </c>
      <c r="F74" s="4" t="n">
        <v>15</v>
      </c>
      <c r="G74" s="7">
        <f>IF(F74="","",100-F74)</f>
        <v/>
      </c>
      <c r="H74" s="4" t="n">
        <v>4</v>
      </c>
      <c r="I74" s="4" t="n">
        <v>5</v>
      </c>
      <c r="J74" s="3" t="inlineStr"/>
    </row>
    <row r="75">
      <c r="A75" s="3" t="inlineStr">
        <is>
          <t>218143352</t>
        </is>
      </c>
      <c r="B75" s="6" t="inlineStr">
        <is>
          <t>וקנין ינון אליה</t>
        </is>
      </c>
      <c r="C75" s="3" t="inlineStr">
        <is>
          <t>יא'6</t>
        </is>
      </c>
      <c r="D75" s="3" t="inlineStr">
        <is>
          <t>לא</t>
        </is>
      </c>
      <c r="E75" s="3" t="inlineStr">
        <is>
          <t>לא</t>
        </is>
      </c>
      <c r="F75" s="4" t="n">
        <v>8</v>
      </c>
      <c r="G75" s="7">
        <f>IF(F75="","",100-F75)</f>
        <v/>
      </c>
      <c r="H75" s="4" t="n">
        <v>4</v>
      </c>
      <c r="I75" s="4" t="n">
        <v>5</v>
      </c>
      <c r="J75" s="3" t="inlineStr"/>
    </row>
    <row r="76">
      <c r="A76" s="3" t="inlineStr">
        <is>
          <t>333591568</t>
        </is>
      </c>
      <c r="B76" s="6" t="inlineStr">
        <is>
          <t>יעקבי אלה</t>
        </is>
      </c>
      <c r="C76" s="3" t="inlineStr">
        <is>
          <t>יא'6</t>
        </is>
      </c>
      <c r="D76" s="3" t="inlineStr">
        <is>
          <t>לא</t>
        </is>
      </c>
      <c r="E76" s="3" t="inlineStr">
        <is>
          <t>לא</t>
        </is>
      </c>
      <c r="F76" s="4" t="n">
        <v>13</v>
      </c>
      <c r="G76" s="7">
        <f>IF(F76="","",100-F76)</f>
        <v/>
      </c>
      <c r="H76" s="4" t="n">
        <v>4</v>
      </c>
      <c r="I76" s="4" t="n"/>
      <c r="J76" s="3" t="inlineStr"/>
    </row>
    <row r="77">
      <c r="A77" s="3" t="inlineStr">
        <is>
          <t>333689735</t>
        </is>
      </c>
      <c r="B77" s="6" t="inlineStr">
        <is>
          <t>יצחקי תהל</t>
        </is>
      </c>
      <c r="C77" s="3" t="inlineStr">
        <is>
          <t>יא'6</t>
        </is>
      </c>
      <c r="D77" s="3" t="inlineStr">
        <is>
          <t>לא</t>
        </is>
      </c>
      <c r="E77" s="3" t="inlineStr">
        <is>
          <t>לא</t>
        </is>
      </c>
      <c r="F77" s="4" t="n">
        <v>37</v>
      </c>
      <c r="G77" s="7">
        <f>IF(F77="","",100-F77)</f>
        <v/>
      </c>
      <c r="H77" s="4" t="n">
        <v>3</v>
      </c>
      <c r="I77" s="4" t="n"/>
      <c r="J77" s="3" t="inlineStr"/>
    </row>
    <row r="78">
      <c r="A78" s="3" t="inlineStr">
        <is>
          <t>218533115</t>
        </is>
      </c>
      <c r="B78" s="6" t="inlineStr">
        <is>
          <t>כהן ליעד</t>
        </is>
      </c>
      <c r="C78" s="3" t="inlineStr">
        <is>
          <t>יא'6</t>
        </is>
      </c>
      <c r="D78" s="3" t="inlineStr">
        <is>
          <t>לא</t>
        </is>
      </c>
      <c r="E78" s="3" t="inlineStr">
        <is>
          <t>לא</t>
        </is>
      </c>
      <c r="F78" s="4" t="n">
        <v>9</v>
      </c>
      <c r="G78" s="7">
        <f>IF(F78="","",100-F78)</f>
        <v/>
      </c>
      <c r="H78" s="4" t="n">
        <v>4</v>
      </c>
      <c r="I78" s="4" t="n">
        <v>4</v>
      </c>
      <c r="J78" s="3" t="inlineStr"/>
    </row>
    <row r="79">
      <c r="A79" s="8" t="inlineStr"/>
      <c r="B79" s="9" t="inlineStr">
        <is>
          <t>לזרוביץ ביטו דור</t>
        </is>
      </c>
      <c r="C79" s="8" t="inlineStr">
        <is>
          <t>יא'6</t>
        </is>
      </c>
      <c r="D79" s="8" t="inlineStr">
        <is>
          <t>כן</t>
        </is>
      </c>
      <c r="E79" s="8" t="inlineStr">
        <is>
          <t>לא</t>
        </is>
      </c>
      <c r="F79" s="4" t="n">
        <v>81</v>
      </c>
      <c r="G79" s="7">
        <f>IF(F79="","",100-F79)</f>
        <v/>
      </c>
      <c r="H79" s="4" t="n"/>
      <c r="I79" s="4" t="n">
        <v>5</v>
      </c>
      <c r="J79" s="8" t="inlineStr"/>
    </row>
    <row r="80">
      <c r="A80" s="3" t="inlineStr">
        <is>
          <t>218865681</t>
        </is>
      </c>
      <c r="B80" s="6" t="inlineStr">
        <is>
          <t>משין מישל</t>
        </is>
      </c>
      <c r="C80" s="3" t="inlineStr">
        <is>
          <t>יא'6</t>
        </is>
      </c>
      <c r="D80" s="3" t="inlineStr">
        <is>
          <t>לא</t>
        </is>
      </c>
      <c r="E80" s="3" t="inlineStr">
        <is>
          <t>לא</t>
        </is>
      </c>
      <c r="F80" s="4" t="n">
        <v>13</v>
      </c>
      <c r="G80" s="7">
        <f>IF(F80="","",100-F80)</f>
        <v/>
      </c>
      <c r="H80" s="4" t="n">
        <v>4</v>
      </c>
      <c r="I80" s="4" t="n"/>
      <c r="J80" s="3" t="inlineStr"/>
    </row>
    <row r="81">
      <c r="A81" s="3" t="inlineStr">
        <is>
          <t>333615045</t>
        </is>
      </c>
      <c r="B81" s="6" t="inlineStr">
        <is>
          <t>סבאג יהלי אליס</t>
        </is>
      </c>
      <c r="C81" s="3" t="inlineStr">
        <is>
          <t>יא'6</t>
        </is>
      </c>
      <c r="D81" s="3" t="inlineStr">
        <is>
          <t>לא</t>
        </is>
      </c>
      <c r="E81" s="3" t="inlineStr">
        <is>
          <t>לא</t>
        </is>
      </c>
      <c r="F81" s="4" t="n">
        <v>27</v>
      </c>
      <c r="G81" s="7">
        <f>IF(F81="","",100-F81)</f>
        <v/>
      </c>
      <c r="H81" s="4" t="n">
        <v>4</v>
      </c>
      <c r="I81" s="4" t="n">
        <v>5</v>
      </c>
      <c r="J81" s="3" t="inlineStr"/>
    </row>
    <row r="82">
      <c r="A82" s="3" t="inlineStr">
        <is>
          <t>337761845</t>
        </is>
      </c>
      <c r="B82" s="6" t="inlineStr">
        <is>
          <t>סבוסקין ורוניקה</t>
        </is>
      </c>
      <c r="C82" s="3" t="inlineStr">
        <is>
          <t>יא'6</t>
        </is>
      </c>
      <c r="D82" s="3" t="inlineStr">
        <is>
          <t>לא</t>
        </is>
      </c>
      <c r="E82" s="3" t="inlineStr">
        <is>
          <t>לא</t>
        </is>
      </c>
      <c r="F82" s="4" t="n">
        <v>20</v>
      </c>
      <c r="G82" s="7">
        <f>IF(F82="","",100-F82)</f>
        <v/>
      </c>
      <c r="H82" s="4" t="n">
        <v>3</v>
      </c>
      <c r="I82" s="4" t="n">
        <v>5</v>
      </c>
      <c r="J82" s="3" t="inlineStr"/>
    </row>
    <row r="83">
      <c r="A83" s="3" t="inlineStr">
        <is>
          <t>217869049</t>
        </is>
      </c>
      <c r="B83" s="6" t="inlineStr">
        <is>
          <t>קגן מאריאל</t>
        </is>
      </c>
      <c r="C83" s="3" t="inlineStr">
        <is>
          <t>יא'6</t>
        </is>
      </c>
      <c r="D83" s="3" t="inlineStr">
        <is>
          <t>לא</t>
        </is>
      </c>
      <c r="E83" s="3" t="inlineStr">
        <is>
          <t>לא</t>
        </is>
      </c>
      <c r="F83" s="4" t="n">
        <v>72</v>
      </c>
      <c r="G83" s="7">
        <f>IF(F83="","",100-F83)</f>
        <v/>
      </c>
      <c r="H83" s="4" t="n">
        <v>4</v>
      </c>
      <c r="I83" s="4" t="n">
        <v>5</v>
      </c>
      <c r="J83" s="3" t="inlineStr"/>
    </row>
    <row r="84">
      <c r="A84" s="3" t="inlineStr">
        <is>
          <t>332145028</t>
        </is>
      </c>
      <c r="B84" s="6" t="inlineStr">
        <is>
          <t>קולט מאי</t>
        </is>
      </c>
      <c r="C84" s="3" t="inlineStr">
        <is>
          <t>יא'6</t>
        </is>
      </c>
      <c r="D84" s="3" t="inlineStr">
        <is>
          <t>לא</t>
        </is>
      </c>
      <c r="E84" s="3" t="inlineStr">
        <is>
          <t>לא</t>
        </is>
      </c>
      <c r="F84" s="4" t="n">
        <v>11</v>
      </c>
      <c r="G84" s="7">
        <f>IF(F84="","",100-F84)</f>
        <v/>
      </c>
      <c r="H84" s="4" t="n">
        <v>3</v>
      </c>
      <c r="I84" s="4" t="n">
        <v>5</v>
      </c>
      <c r="J84" s="3" t="inlineStr"/>
    </row>
    <row r="85">
      <c r="A85" s="3" t="inlineStr">
        <is>
          <t>218673648</t>
        </is>
      </c>
      <c r="B85" s="6" t="inlineStr">
        <is>
          <t>רביד יואב</t>
        </is>
      </c>
      <c r="C85" s="3" t="inlineStr">
        <is>
          <t>יא'6</t>
        </is>
      </c>
      <c r="D85" s="3" t="inlineStr">
        <is>
          <t>לא</t>
        </is>
      </c>
      <c r="E85" s="3" t="inlineStr">
        <is>
          <t>לא</t>
        </is>
      </c>
      <c r="F85" s="4" t="n">
        <v>31</v>
      </c>
      <c r="G85" s="7">
        <f>IF(F85="","",100-F85)</f>
        <v/>
      </c>
      <c r="H85" s="4" t="n">
        <v>5</v>
      </c>
      <c r="I85" s="4" t="n">
        <v>5</v>
      </c>
      <c r="J8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6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</cols>
  <sheetData>
    <row r="1" ht="50" customHeight="1">
      <c r="A1" s="5" t="inlineStr">
        <is>
          <t>פרטי תלמיד</t>
        </is>
      </c>
      <c r="D1" s="5" t="inlineStr">
        <is>
          <t>מתמטיקה</t>
        </is>
      </c>
      <c r="M1" s="5" t="inlineStr">
        <is>
          <t>לשון 11281</t>
        </is>
      </c>
      <c r="P1" s="5" t="inlineStr">
        <is>
          <t>היסטוריה</t>
        </is>
      </c>
      <c r="T1" s="5" t="inlineStr">
        <is>
          <t>תנ"ך</t>
        </is>
      </c>
      <c r="X1" s="5" t="inlineStr">
        <is>
          <t>אזרחות</t>
        </is>
      </c>
      <c r="AB1" s="5" t="inlineStr">
        <is>
          <t>ספרות</t>
        </is>
      </c>
      <c r="AF1" s="5" t="inlineStr">
        <is>
          <t>אנגלית</t>
        </is>
      </c>
      <c r="AN1" s="5" t="inlineStr">
        <is>
          <t>מגמות</t>
        </is>
      </c>
    </row>
    <row r="2" ht="35" customHeight="1">
      <c r="A2" s="10" t="inlineStr">
        <is>
          <t>תעודת זהות</t>
        </is>
      </c>
      <c r="B2" s="10" t="inlineStr">
        <is>
          <t>שם מלא</t>
        </is>
      </c>
      <c r="C2" s="10" t="inlineStr">
        <is>
          <t>כיתה</t>
        </is>
      </c>
      <c r="D2" s="10" t="inlineStr">
        <is>
          <t>35173
25%</t>
        </is>
      </c>
      <c r="E2" s="10" t="inlineStr">
        <is>
          <t>35371
35%</t>
        </is>
      </c>
      <c r="F2" s="10" t="inlineStr">
        <is>
          <t>35372
40%</t>
        </is>
      </c>
      <c r="G2" s="10" t="inlineStr">
        <is>
          <t>35471
65%</t>
        </is>
      </c>
      <c r="H2" s="10" t="inlineStr">
        <is>
          <t>35472
35%</t>
        </is>
      </c>
      <c r="I2" s="10" t="inlineStr">
        <is>
          <t>35571
60%</t>
        </is>
      </c>
      <c r="J2" s="10" t="inlineStr">
        <is>
          <t>35572
40%</t>
        </is>
      </c>
      <c r="K2" s="10" t="inlineStr">
        <is>
          <t>מתמטיקה
סופי</t>
        </is>
      </c>
      <c r="L2" s="10" t="inlineStr">
        <is>
          <t>חיצוני
70%</t>
        </is>
      </c>
      <c r="M2" s="10" t="inlineStr">
        <is>
          <t>ב"ס
30%</t>
        </is>
      </c>
      <c r="N2" s="10" t="inlineStr">
        <is>
          <t>לשון
סופי</t>
        </is>
      </c>
      <c r="O2" s="10" t="inlineStr">
        <is>
          <t>מבוקרות
35%</t>
        </is>
      </c>
      <c r="P2" s="10" t="inlineStr">
        <is>
          <t>חיצוני
35%</t>
        </is>
      </c>
      <c r="Q2" s="10" t="inlineStr">
        <is>
          <t>ב"ס
30%</t>
        </is>
      </c>
      <c r="R2" s="10" t="inlineStr">
        <is>
          <t>היסטוריה
סופי</t>
        </is>
      </c>
      <c r="S2" s="10" t="inlineStr">
        <is>
          <t>מבוקרות
35%</t>
        </is>
      </c>
      <c r="T2" s="10" t="inlineStr">
        <is>
          <t>חיצוני
35%</t>
        </is>
      </c>
      <c r="U2" s="10" t="inlineStr">
        <is>
          <t>ב"ס
30%</t>
        </is>
      </c>
      <c r="V2" s="10" t="inlineStr">
        <is>
          <t>תנ"ך
סופי</t>
        </is>
      </c>
      <c r="W2" s="10" t="inlineStr">
        <is>
          <t>מבוקרות
35%</t>
        </is>
      </c>
      <c r="X2" s="10" t="inlineStr">
        <is>
          <t>חיצוני
35%</t>
        </is>
      </c>
      <c r="Y2" s="10" t="inlineStr">
        <is>
          <t>ב"ס
30%</t>
        </is>
      </c>
      <c r="Z2" s="10" t="inlineStr">
        <is>
          <t>אזרחות
סופי</t>
        </is>
      </c>
      <c r="AA2" s="10" t="inlineStr">
        <is>
          <t>מבוקרות
35%</t>
        </is>
      </c>
      <c r="AB2" s="10" t="inlineStr">
        <is>
          <t>חיצוני
35%</t>
        </is>
      </c>
      <c r="AC2" s="10" t="inlineStr">
        <is>
          <t>ב"ס
30%</t>
        </is>
      </c>
      <c r="AD2" s="10" t="inlineStr">
        <is>
          <t>ספרות
סופי</t>
        </is>
      </c>
      <c r="AE2" s="10" t="inlineStr">
        <is>
          <t>שאלון A
27%</t>
        </is>
      </c>
      <c r="AF2" s="10" t="inlineStr">
        <is>
          <t>שאלון B
26%</t>
        </is>
      </c>
      <c r="AG2" s="10" t="inlineStr">
        <is>
          <t>שאלון C
27%</t>
        </is>
      </c>
      <c r="AH2" s="10" t="inlineStr">
        <is>
          <t>שאלון D
26%</t>
        </is>
      </c>
      <c r="AI2" s="10" t="inlineStr">
        <is>
          <t>שאלון E
27%</t>
        </is>
      </c>
      <c r="AJ2" s="10" t="inlineStr">
        <is>
          <t>שאלון F
26%</t>
        </is>
      </c>
      <c r="AK2" s="10" t="inlineStr">
        <is>
          <t>שאלון G
27%</t>
        </is>
      </c>
      <c r="AL2" s="10" t="inlineStr">
        <is>
          <t>Boost
20%</t>
        </is>
      </c>
      <c r="AM2" s="10" t="inlineStr">
        <is>
          <t>אנגלית
סופי</t>
        </is>
      </c>
      <c r="AN2" s="10" t="inlineStr">
        <is>
          <t>ביולוגיה
סופי</t>
        </is>
      </c>
      <c r="AO2" s="10" t="inlineStr">
        <is>
          <t>מוט"ל
סופי</t>
        </is>
      </c>
      <c r="AP2" s="10" t="inlineStr">
        <is>
          <t>שפות
סופי</t>
        </is>
      </c>
      <c r="AQ2" s="10" t="inlineStr">
        <is>
          <t>מגמה אחרת
סופי</t>
        </is>
      </c>
      <c r="AR2" s="10" t="inlineStr">
        <is>
          <t>מגמה
שם</t>
        </is>
      </c>
    </row>
    <row r="3">
      <c r="A3" s="7" t="inlineStr">
        <is>
          <t>218075950</t>
        </is>
      </c>
      <c r="B3" s="11" t="inlineStr">
        <is>
          <t>אדמוני שלו</t>
        </is>
      </c>
      <c r="C3" s="7" t="inlineStr">
        <is>
          <t>יא'1</t>
        </is>
      </c>
      <c r="D3" s="4" t="n"/>
      <c r="E3" s="4" t="n"/>
      <c r="F3" s="4" t="n"/>
      <c r="G3" s="4" t="n"/>
      <c r="H3" s="4" t="n"/>
      <c r="I3" s="4" t="n"/>
      <c r="J3" s="4" t="n"/>
      <c r="K3" s="7">
        <f>MAX(IF(AND(D3&lt;&gt;"",E3&lt;&gt;"",F3&lt;&gt;""),D3*0.25+E3*0.35+F3*0.40,0),IF(AND(G3&lt;&gt;"",H3&lt;&gt;""),G3*0.65+H3*0.35,0),IF(AND(I3&lt;&gt;"",J3&lt;&gt;""),I3*0.60+J3*0.40,0))</f>
        <v/>
      </c>
      <c r="L3" s="4" t="n">
        <v>41</v>
      </c>
      <c r="M3" s="4" t="n"/>
      <c r="N3" s="7">
        <f>IF(L3="","",L3*0.70+IF(M3="",0,M3)*0.30)</f>
        <v/>
      </c>
      <c r="O3" s="4" t="n"/>
      <c r="P3" s="4" t="n"/>
      <c r="Q3" s="4" t="n"/>
      <c r="R3" s="7">
        <f>IF(P3="","",IF(O3="",0,O3)*0.35+P3*0.35+IF(Q3="",0,Q3)*0.30)</f>
        <v/>
      </c>
      <c r="S3" s="4" t="n"/>
      <c r="T3" s="4" t="n">
        <v>17</v>
      </c>
      <c r="U3" s="4" t="n"/>
      <c r="V3" s="7">
        <f>IF(T3="","",IF(S3="",0,S3)*0.35+T3*0.35+IF(U3="",0,U3)*0.30)</f>
        <v/>
      </c>
      <c r="W3" s="4" t="n"/>
      <c r="X3" s="4" t="n"/>
      <c r="Y3" s="4" t="n"/>
      <c r="Z3" s="7">
        <f>IF(X3="","",IF(W3="",0,W3)*0.35+X3*0.35+IF(Y3="",0,Y3)*0.30)</f>
        <v/>
      </c>
      <c r="AA3" s="4" t="n"/>
      <c r="AB3" s="4" t="n"/>
      <c r="AC3" s="4" t="n"/>
      <c r="AD3" s="7">
        <f>IF(AB3="","",IF(AA3="",0,AA3)*0.35+AB3*0.35+IF(AC3="",0,AC3)*0.30)</f>
        <v/>
      </c>
      <c r="AE3" s="4" t="n"/>
      <c r="AF3" s="4" t="n"/>
      <c r="AG3" s="4" t="n"/>
      <c r="AH3" s="4" t="n"/>
      <c r="AI3" s="4" t="n"/>
      <c r="AJ3" s="4" t="n"/>
      <c r="AK3" s="4" t="n"/>
      <c r="AL3" s="4" t="n"/>
      <c r="AM3" s="7" t="n"/>
      <c r="AN3" s="4" t="n"/>
      <c r="AO3" s="4" t="n"/>
      <c r="AP3" s="4" t="n"/>
      <c r="AQ3" s="4" t="n"/>
      <c r="AR3" s="4" t="n"/>
      <c r="AS3" s="4" t="n"/>
    </row>
    <row r="4">
      <c r="A4" s="7" t="inlineStr">
        <is>
          <t>218071348</t>
        </is>
      </c>
      <c r="B4" s="11" t="inlineStr">
        <is>
          <t>אהרן אדל</t>
        </is>
      </c>
      <c r="C4" s="7" t="inlineStr">
        <is>
          <t>יא'1</t>
        </is>
      </c>
      <c r="D4" s="4" t="n">
        <v>100</v>
      </c>
      <c r="E4" s="4" t="n"/>
      <c r="F4" s="4" t="n"/>
      <c r="G4" s="4" t="n"/>
      <c r="H4" s="4" t="n"/>
      <c r="I4" s="4" t="n"/>
      <c r="J4" s="4" t="n"/>
      <c r="K4" s="7">
        <f>MAX(IF(AND(D4&lt;&gt;"",E4&lt;&gt;"",F4&lt;&gt;""),D4*0.25+E4*0.35+F4*0.40,0),IF(AND(G4&lt;&gt;"",H4&lt;&gt;""),G4*0.65+H4*0.35,0),IF(AND(I4&lt;&gt;"",J4&lt;&gt;""),I4*0.60+J4*0.40,0))</f>
        <v/>
      </c>
      <c r="L4" s="4" t="n">
        <v>57</v>
      </c>
      <c r="M4" s="4" t="n">
        <v>91</v>
      </c>
      <c r="N4" s="7">
        <f>IF(L4="","",L4*0.70+IF(M4="",0,M4)*0.30)</f>
        <v/>
      </c>
      <c r="O4" s="4" t="n"/>
      <c r="P4" s="4" t="n">
        <v>85</v>
      </c>
      <c r="Q4" s="4" t="n">
        <v>95</v>
      </c>
      <c r="R4" s="7">
        <f>IF(P4="","",IF(O4="",0,O4)*0.35+P4*0.35+IF(Q4="",0,Q4)*0.30)</f>
        <v/>
      </c>
      <c r="S4" s="4" t="n"/>
      <c r="T4" s="4" t="n">
        <v>62</v>
      </c>
      <c r="U4" s="4" t="n"/>
      <c r="V4" s="7">
        <f>IF(T4="","",IF(S4="",0,S4)*0.35+T4*0.35+IF(U4="",0,U4)*0.30)</f>
        <v/>
      </c>
      <c r="W4" s="4" t="n"/>
      <c r="X4" s="4" t="n"/>
      <c r="Y4" s="4" t="n"/>
      <c r="Z4" s="7">
        <f>IF(X4="","",IF(W4="",0,W4)*0.35+X4*0.35+IF(Y4="",0,Y4)*0.30)</f>
        <v/>
      </c>
      <c r="AA4" s="4" t="n"/>
      <c r="AB4" s="4" t="n"/>
      <c r="AC4" s="4" t="n"/>
      <c r="AD4" s="7">
        <f>IF(AB4="","",IF(AA4="",0,AA4)*0.35+AB4*0.35+IF(AC4="",0,AC4)*0.30)</f>
        <v/>
      </c>
      <c r="AE4" s="4" t="n"/>
      <c r="AF4" s="4" t="n"/>
      <c r="AG4" s="4" t="n"/>
      <c r="AH4" s="4" t="n"/>
      <c r="AI4" s="4" t="n"/>
      <c r="AJ4" s="4" t="n"/>
      <c r="AK4" s="4" t="n"/>
      <c r="AL4" s="4" t="n"/>
      <c r="AM4" s="7" t="n">
        <v>0</v>
      </c>
      <c r="AN4" s="4" t="n">
        <v>0</v>
      </c>
      <c r="AO4" s="4" t="n">
        <v>0</v>
      </c>
      <c r="AP4" s="4" t="n"/>
      <c r="AQ4" s="4" t="n"/>
      <c r="AR4" s="4" t="n"/>
      <c r="AS4" s="4" t="n"/>
    </row>
    <row r="5">
      <c r="A5" s="7" t="inlineStr">
        <is>
          <t>218062586</t>
        </is>
      </c>
      <c r="B5" s="11" t="inlineStr">
        <is>
          <t>איזנקוט ליאן</t>
        </is>
      </c>
      <c r="C5" s="7" t="inlineStr">
        <is>
          <t>יא'1</t>
        </is>
      </c>
      <c r="D5" s="4" t="n">
        <v>100</v>
      </c>
      <c r="E5" s="4" t="n"/>
      <c r="F5" s="4" t="n"/>
      <c r="G5" s="4" t="n"/>
      <c r="H5" s="4" t="n"/>
      <c r="I5" s="4" t="n"/>
      <c r="J5" s="4" t="n"/>
      <c r="K5" s="7">
        <f>MAX(IF(AND(D5&lt;&gt;"",E5&lt;&gt;"",F5&lt;&gt;""),D5*0.25+E5*0.35+F5*0.40,0),IF(AND(G5&lt;&gt;"",H5&lt;&gt;""),G5*0.65+H5*0.35,0),IF(AND(I5&lt;&gt;"",J5&lt;&gt;""),I5*0.60+J5*0.40,0))</f>
        <v/>
      </c>
      <c r="L5" s="4" t="n">
        <v>61</v>
      </c>
      <c r="M5" s="4" t="n"/>
      <c r="N5" s="7">
        <f>IF(L5="","",L5*0.70+IF(M5="",0,M5)*0.30)</f>
        <v/>
      </c>
      <c r="O5" s="4" t="n"/>
      <c r="P5" s="4" t="n">
        <v>70</v>
      </c>
      <c r="Q5" s="4" t="n">
        <v>95</v>
      </c>
      <c r="R5" s="7">
        <f>IF(P5="","",IF(O5="",0,O5)*0.35+P5*0.35+IF(Q5="",0,Q5)*0.30)</f>
        <v/>
      </c>
      <c r="S5" s="4" t="n"/>
      <c r="T5" s="4" t="n">
        <v>17</v>
      </c>
      <c r="U5" s="4" t="n"/>
      <c r="V5" s="7">
        <f>IF(T5="","",IF(S5="",0,S5)*0.35+T5*0.35+IF(U5="",0,U5)*0.30)</f>
        <v/>
      </c>
      <c r="W5" s="4" t="n"/>
      <c r="X5" s="4" t="n"/>
      <c r="Y5" s="4" t="n"/>
      <c r="Z5" s="7">
        <f>IF(X5="","",IF(W5="",0,W5)*0.35+X5*0.35+IF(Y5="",0,Y5)*0.30)</f>
        <v/>
      </c>
      <c r="AA5" s="4" t="n"/>
      <c r="AB5" s="4" t="n"/>
      <c r="AC5" s="4" t="n"/>
      <c r="AD5" s="7">
        <f>IF(AB5="","",IF(AA5="",0,AA5)*0.35+AB5*0.35+IF(AC5="",0,AC5)*0.30)</f>
        <v/>
      </c>
      <c r="AE5" s="4" t="n"/>
      <c r="AF5" s="4" t="n"/>
      <c r="AG5" s="4" t="n"/>
      <c r="AH5" s="4" t="n"/>
      <c r="AI5" s="4" t="n"/>
      <c r="AJ5" s="4" t="n"/>
      <c r="AK5" s="4" t="n"/>
      <c r="AL5" s="4" t="n"/>
      <c r="AM5" s="7" t="n">
        <v>0</v>
      </c>
      <c r="AN5" s="4" t="n">
        <v>0</v>
      </c>
      <c r="AO5" s="4" t="n">
        <v>0</v>
      </c>
      <c r="AP5" s="4" t="n"/>
      <c r="AQ5" s="4" t="n"/>
      <c r="AR5" s="4" t="n"/>
      <c r="AS5" s="4" t="n"/>
    </row>
    <row r="6">
      <c r="A6" s="7" t="inlineStr">
        <is>
          <t>218155570</t>
        </is>
      </c>
      <c r="B6" s="11" t="inlineStr">
        <is>
          <t>אלחרר דביר</t>
        </is>
      </c>
      <c r="C6" s="7" t="inlineStr">
        <is>
          <t>יא'1</t>
        </is>
      </c>
      <c r="D6" s="4" t="n">
        <v>98</v>
      </c>
      <c r="E6" s="4" t="n"/>
      <c r="F6" s="4" t="n"/>
      <c r="G6" s="4" t="n"/>
      <c r="H6" s="4" t="n"/>
      <c r="I6" s="4" t="n"/>
      <c r="J6" s="4" t="n"/>
      <c r="K6" s="7">
        <f>MAX(IF(AND(D6&lt;&gt;"",E6&lt;&gt;"",F6&lt;&gt;""),D6*0.25+E6*0.35+F6*0.40,0),IF(AND(G6&lt;&gt;"",H6&lt;&gt;""),G6*0.65+H6*0.35,0),IF(AND(I6&lt;&gt;"",J6&lt;&gt;""),I6*0.60+J6*0.40,0))</f>
        <v/>
      </c>
      <c r="L6" s="4" t="n"/>
      <c r="M6" s="4" t="n"/>
      <c r="N6" s="7">
        <f>IF(L6="","",L6*0.70+IF(M6="",0,M6)*0.30)</f>
        <v/>
      </c>
      <c r="O6" s="4" t="n"/>
      <c r="P6" s="4" t="n">
        <v>56</v>
      </c>
      <c r="Q6" s="4" t="n">
        <v>100</v>
      </c>
      <c r="R6" s="7">
        <f>IF(P6="","",IF(O6="",0,O6)*0.35+P6*0.35+IF(Q6="",0,Q6)*0.30)</f>
        <v/>
      </c>
      <c r="S6" s="4" t="n"/>
      <c r="T6" s="4" t="n"/>
      <c r="U6" s="4" t="n"/>
      <c r="V6" s="7">
        <f>IF(T6="","",IF(S6="",0,S6)*0.35+T6*0.35+IF(U6="",0,U6)*0.30)</f>
        <v/>
      </c>
      <c r="W6" s="4" t="n"/>
      <c r="X6" s="4" t="n"/>
      <c r="Y6" s="4" t="n"/>
      <c r="Z6" s="7">
        <f>IF(X6="","",IF(W6="",0,W6)*0.35+X6*0.35+IF(Y6="",0,Y6)*0.30)</f>
        <v/>
      </c>
      <c r="AA6" s="4" t="n"/>
      <c r="AB6" s="4" t="n"/>
      <c r="AC6" s="4" t="n"/>
      <c r="AD6" s="7">
        <f>IF(AB6="","",IF(AA6="",0,AA6)*0.35+AB6*0.35+IF(AC6="",0,AC6)*0.30)</f>
        <v/>
      </c>
      <c r="AE6" s="4" t="n"/>
      <c r="AF6" s="4" t="n"/>
      <c r="AG6" s="4" t="n"/>
      <c r="AH6" s="4" t="n"/>
      <c r="AI6" s="4" t="n"/>
      <c r="AJ6" s="4" t="n"/>
      <c r="AK6" s="4" t="n"/>
      <c r="AL6" s="4" t="n"/>
      <c r="AM6" s="7" t="n">
        <v>0</v>
      </c>
      <c r="AN6" s="4" t="n">
        <v>0</v>
      </c>
      <c r="AO6" s="4" t="n">
        <v>0</v>
      </c>
      <c r="AP6" s="4" t="n"/>
      <c r="AQ6" s="4" t="n"/>
      <c r="AR6" s="4" t="n"/>
      <c r="AS6" s="4" t="n"/>
    </row>
    <row r="7">
      <c r="A7" s="7" t="inlineStr">
        <is>
          <t>327059259</t>
        </is>
      </c>
      <c r="B7" s="11" t="inlineStr">
        <is>
          <t>ארד יונתן</t>
        </is>
      </c>
      <c r="C7" s="7" t="inlineStr">
        <is>
          <t>יא'1</t>
        </is>
      </c>
      <c r="D7" s="4" t="n">
        <v>98</v>
      </c>
      <c r="E7" s="4" t="n"/>
      <c r="F7" s="4" t="n"/>
      <c r="G7" s="4" t="n"/>
      <c r="H7" s="4" t="n"/>
      <c r="I7" s="4" t="n"/>
      <c r="J7" s="4" t="n"/>
      <c r="K7" s="7">
        <f>MAX(IF(AND(D7&lt;&gt;"",E7&lt;&gt;"",F7&lt;&gt;""),D7*0.25+E7*0.35+F7*0.40,0),IF(AND(G7&lt;&gt;"",H7&lt;&gt;""),G7*0.65+H7*0.35,0),IF(AND(I7&lt;&gt;"",J7&lt;&gt;""),I7*0.60+J7*0.40,0))</f>
        <v/>
      </c>
      <c r="L7" s="4" t="n"/>
      <c r="M7" s="4" t="n"/>
      <c r="N7" s="7">
        <f>IF(L7="","",L7*0.70+IF(M7="",0,M7)*0.30)</f>
        <v/>
      </c>
      <c r="O7" s="4" t="n"/>
      <c r="P7" s="4" t="n">
        <v>56</v>
      </c>
      <c r="Q7" s="4" t="n">
        <v>100</v>
      </c>
      <c r="R7" s="7">
        <f>IF(P7="","",IF(O7="",0,O7)*0.35+P7*0.35+IF(Q7="",0,Q7)*0.30)</f>
        <v/>
      </c>
      <c r="S7" s="4" t="n"/>
      <c r="T7" s="4" t="n">
        <v>11</v>
      </c>
      <c r="U7" s="4" t="n"/>
      <c r="V7" s="7">
        <f>IF(T7="","",IF(S7="",0,S7)*0.35+T7*0.35+IF(U7="",0,U7)*0.30)</f>
        <v/>
      </c>
      <c r="W7" s="4" t="n"/>
      <c r="X7" s="4" t="n"/>
      <c r="Y7" s="4" t="n"/>
      <c r="Z7" s="7">
        <f>IF(X7="","",IF(W7="",0,W7)*0.35+X7*0.35+IF(Y7="",0,Y7)*0.30)</f>
        <v/>
      </c>
      <c r="AA7" s="4" t="n"/>
      <c r="AB7" s="4" t="n"/>
      <c r="AC7" s="4" t="n"/>
      <c r="AD7" s="7">
        <f>IF(AB7="","",IF(AA7="",0,AA7)*0.35+AB7*0.35+IF(AC7="",0,AC7)*0.30)</f>
        <v/>
      </c>
      <c r="AE7" s="4" t="n"/>
      <c r="AF7" s="4" t="n"/>
      <c r="AG7" s="4" t="n"/>
      <c r="AH7" s="4" t="n"/>
      <c r="AI7" s="4" t="n"/>
      <c r="AJ7" s="4" t="n"/>
      <c r="AK7" s="4" t="n"/>
      <c r="AL7" s="4" t="n"/>
      <c r="AM7" s="7" t="n">
        <v>0</v>
      </c>
      <c r="AN7" s="4" t="n">
        <v>0</v>
      </c>
      <c r="AO7" s="4" t="n">
        <v>0</v>
      </c>
      <c r="AP7" s="4" t="n"/>
      <c r="AQ7" s="4" t="n"/>
      <c r="AR7" s="4" t="n"/>
      <c r="AS7" s="4" t="n"/>
    </row>
    <row r="8">
      <c r="A8" s="7" t="inlineStr">
        <is>
          <t>333697498</t>
        </is>
      </c>
      <c r="B8" s="11" t="inlineStr">
        <is>
          <t>גברילוב ענאל</t>
        </is>
      </c>
      <c r="C8" s="7" t="inlineStr">
        <is>
          <t>יא'1</t>
        </is>
      </c>
      <c r="D8" s="4" t="n">
        <v>55</v>
      </c>
      <c r="E8" s="4" t="n"/>
      <c r="F8" s="4" t="n"/>
      <c r="G8" s="4" t="n"/>
      <c r="H8" s="4" t="n"/>
      <c r="I8" s="4" t="n"/>
      <c r="J8" s="4" t="n"/>
      <c r="K8" s="7">
        <f>MAX(IF(AND(D8&lt;&gt;"",E8&lt;&gt;"",F8&lt;&gt;""),D8*0.25+E8*0.35+F8*0.40,0),IF(AND(G8&lt;&gt;"",H8&lt;&gt;""),G8*0.65+H8*0.35,0),IF(AND(I8&lt;&gt;"",J8&lt;&gt;""),I8*0.60+J8*0.40,0))</f>
        <v/>
      </c>
      <c r="L8" s="4" t="n">
        <v>42</v>
      </c>
      <c r="M8" s="4" t="n"/>
      <c r="N8" s="7">
        <f>IF(L8="","",L8*0.70+IF(M8="",0,M8)*0.30)</f>
        <v/>
      </c>
      <c r="O8" s="4" t="n"/>
      <c r="P8" s="4" t="n">
        <v>56</v>
      </c>
      <c r="Q8" s="4" t="n">
        <v>95</v>
      </c>
      <c r="R8" s="7">
        <f>IF(P8="","",IF(O8="",0,O8)*0.35+P8*0.35+IF(Q8="",0,Q8)*0.30)</f>
        <v/>
      </c>
      <c r="S8" s="4" t="n"/>
      <c r="T8" s="4" t="n">
        <v>24</v>
      </c>
      <c r="U8" s="4" t="n"/>
      <c r="V8" s="7">
        <f>IF(T8="","",IF(S8="",0,S8)*0.35+T8*0.35+IF(U8="",0,U8)*0.30)</f>
        <v/>
      </c>
      <c r="W8" s="4" t="n"/>
      <c r="X8" s="4" t="n"/>
      <c r="Y8" s="4" t="n"/>
      <c r="Z8" s="7">
        <f>IF(X8="","",IF(W8="",0,W8)*0.35+X8*0.35+IF(Y8="",0,Y8)*0.30)</f>
        <v/>
      </c>
      <c r="AA8" s="4" t="n"/>
      <c r="AB8" s="4" t="n"/>
      <c r="AC8" s="4" t="n"/>
      <c r="AD8" s="7">
        <f>IF(AB8="","",IF(AA8="",0,AA8)*0.35+AB8*0.35+IF(AC8="",0,AC8)*0.30)</f>
        <v/>
      </c>
      <c r="AE8" s="4" t="n"/>
      <c r="AF8" s="4" t="n"/>
      <c r="AG8" s="4" t="n"/>
      <c r="AH8" s="4" t="n"/>
      <c r="AI8" s="4" t="n"/>
      <c r="AJ8" s="4" t="n"/>
      <c r="AK8" s="4" t="n"/>
      <c r="AL8" s="4" t="n"/>
      <c r="AM8" s="7" t="n">
        <v>0</v>
      </c>
      <c r="AN8" s="4" t="n">
        <v>0</v>
      </c>
      <c r="AO8" s="4" t="n">
        <v>0</v>
      </c>
      <c r="AP8" s="4" t="n"/>
      <c r="AQ8" s="4" t="n"/>
      <c r="AR8" s="4" t="n"/>
      <c r="AS8" s="4" t="n"/>
    </row>
    <row r="9">
      <c r="A9" s="7" t="inlineStr">
        <is>
          <t>337706980</t>
        </is>
      </c>
      <c r="B9" s="11" t="inlineStr">
        <is>
          <t>דה לאון טורס שמעון מנחם</t>
        </is>
      </c>
      <c r="C9" s="7" t="inlineStr">
        <is>
          <t>יא'1</t>
        </is>
      </c>
      <c r="D9" s="4" t="n"/>
      <c r="E9" s="4" t="n"/>
      <c r="F9" s="4" t="n"/>
      <c r="G9" s="4" t="n"/>
      <c r="H9" s="4" t="n"/>
      <c r="I9" s="4" t="n"/>
      <c r="J9" s="4" t="n"/>
      <c r="K9" s="7">
        <f>MAX(IF(AND(D9&lt;&gt;"",E9&lt;&gt;"",F9&lt;&gt;""),D9*0.25+E9*0.35+F9*0.40,0),IF(AND(G9&lt;&gt;"",H9&lt;&gt;""),G9*0.65+H9*0.35,0),IF(AND(I9&lt;&gt;"",J9&lt;&gt;""),I9*0.60+J9*0.40,0))</f>
        <v/>
      </c>
      <c r="L9" s="4" t="n">
        <v>55</v>
      </c>
      <c r="M9" s="4" t="n"/>
      <c r="N9" s="7">
        <f>IF(L9="","",L9*0.70+IF(M9="",0,M9)*0.30)</f>
        <v/>
      </c>
      <c r="O9" s="4" t="n"/>
      <c r="P9" s="4" t="n"/>
      <c r="Q9" s="4" t="n"/>
      <c r="R9" s="7">
        <f>IF(P9="","",IF(O9="",0,O9)*0.35+P9*0.35+IF(Q9="",0,Q9)*0.30)</f>
        <v/>
      </c>
      <c r="S9" s="4" t="n"/>
      <c r="T9" s="4" t="n">
        <v>52</v>
      </c>
      <c r="U9" s="4" t="n"/>
      <c r="V9" s="7">
        <f>IF(T9="","",IF(S9="",0,S9)*0.35+T9*0.35+IF(U9="",0,U9)*0.30)</f>
        <v/>
      </c>
      <c r="W9" s="4" t="n"/>
      <c r="X9" s="4" t="n"/>
      <c r="Y9" s="4" t="n"/>
      <c r="Z9" s="7">
        <f>IF(X9="","",IF(W9="",0,W9)*0.35+X9*0.35+IF(Y9="",0,Y9)*0.30)</f>
        <v/>
      </c>
      <c r="AA9" s="4" t="n"/>
      <c r="AB9" s="4" t="n"/>
      <c r="AC9" s="4" t="n"/>
      <c r="AD9" s="7">
        <f>IF(AB9="","",IF(AA9="",0,AA9)*0.35+AB9*0.35+IF(AC9="",0,AC9)*0.30)</f>
        <v/>
      </c>
      <c r="AE9" s="4" t="n"/>
      <c r="AF9" s="4" t="n"/>
      <c r="AG9" s="4" t="n"/>
      <c r="AH9" s="4" t="n"/>
      <c r="AI9" s="4" t="n"/>
      <c r="AJ9" s="4" t="n"/>
      <c r="AK9" s="4" t="n"/>
      <c r="AL9" s="4" t="n"/>
      <c r="AM9" s="7" t="n"/>
      <c r="AN9" s="4" t="n"/>
      <c r="AO9" s="4" t="n"/>
      <c r="AP9" s="4" t="n"/>
      <c r="AQ9" s="4" t="n"/>
      <c r="AR9" s="4" t="n"/>
      <c r="AS9" s="4" t="n"/>
    </row>
    <row r="10">
      <c r="A10" s="7" t="inlineStr"/>
      <c r="B10" s="11" t="inlineStr">
        <is>
          <t>דזיובה מרק</t>
        </is>
      </c>
      <c r="C10" s="7" t="inlineStr">
        <is>
          <t>יא'1</t>
        </is>
      </c>
      <c r="D10" s="8" t="n"/>
      <c r="E10" s="8" t="n"/>
      <c r="F10" s="8" t="n"/>
      <c r="G10" s="8" t="n"/>
      <c r="H10" s="8" t="n"/>
      <c r="I10" s="8" t="n"/>
      <c r="J10" s="8" t="n"/>
      <c r="K10" s="7">
        <f>MAX(IF(AND(D10&lt;&gt;"",E10&lt;&gt;"",F10&lt;&gt;""),D10*0.25+E10*0.35+F10*0.40,0),IF(AND(G10&lt;&gt;"",H10&lt;&gt;""),G10*0.65+H10*0.35,0),IF(AND(I10&lt;&gt;"",J10&lt;&gt;""),I10*0.60+J10*0.40,0))</f>
        <v/>
      </c>
      <c r="L10" s="8" t="n"/>
      <c r="M10" s="8" t="n"/>
      <c r="N10" s="7">
        <f>IF(L10="","",L10*0.70+IF(M10="",0,M10)*0.30)</f>
        <v/>
      </c>
      <c r="O10" s="8" t="n"/>
      <c r="P10" s="8" t="n"/>
      <c r="Q10" s="8" t="n"/>
      <c r="R10" s="7">
        <f>IF(P10="","",IF(O10="",0,O10)*0.35+P10*0.35+IF(Q10="",0,Q10)*0.30)</f>
        <v/>
      </c>
      <c r="S10" s="8" t="n"/>
      <c r="T10" s="8" t="n"/>
      <c r="U10" s="8" t="n"/>
      <c r="V10" s="7">
        <f>IF(T10="","",IF(S10="",0,S10)*0.35+T10*0.35+IF(U10="",0,U10)*0.30)</f>
        <v/>
      </c>
      <c r="W10" s="8" t="n"/>
      <c r="X10" s="8" t="n"/>
      <c r="Y10" s="8" t="n"/>
      <c r="Z10" s="7">
        <f>IF(X10="","",IF(W10="",0,W10)*0.35+X10*0.35+IF(Y10="",0,Y10)*0.30)</f>
        <v/>
      </c>
      <c r="AA10" s="8" t="n"/>
      <c r="AB10" s="8" t="n"/>
      <c r="AC10" s="8" t="n"/>
      <c r="AD10" s="7">
        <f>IF(AB10="","",IF(AA10="",0,AA10)*0.35+AB10*0.35+IF(AC10="",0,AC10)*0.30)</f>
        <v/>
      </c>
      <c r="AE10" s="8" t="n"/>
      <c r="AF10" s="8" t="n"/>
      <c r="AG10" s="8" t="n"/>
      <c r="AH10" s="8" t="n"/>
      <c r="AI10" s="8" t="n"/>
      <c r="AJ10" s="8" t="n"/>
      <c r="AK10" s="8" t="n"/>
      <c r="AL10" s="8" t="n"/>
      <c r="AM10" s="7" t="n">
        <v>0</v>
      </c>
      <c r="AN10" s="8" t="n">
        <v>0</v>
      </c>
      <c r="AO10" s="8" t="n">
        <v>0</v>
      </c>
      <c r="AP10" s="8" t="n"/>
      <c r="AQ10" s="8" t="n"/>
      <c r="AR10" s="8" t="n"/>
      <c r="AS10" s="8" t="n"/>
    </row>
    <row r="11">
      <c r="A11" s="7" t="inlineStr">
        <is>
          <t>333712065</t>
        </is>
      </c>
      <c r="B11" s="11" t="inlineStr">
        <is>
          <t>טספאי אורין</t>
        </is>
      </c>
      <c r="C11" s="7" t="inlineStr">
        <is>
          <t>יא'1</t>
        </is>
      </c>
      <c r="D11" s="4" t="n">
        <v>100</v>
      </c>
      <c r="E11" s="4" t="n"/>
      <c r="F11" s="4" t="n"/>
      <c r="G11" s="4" t="n"/>
      <c r="H11" s="4" t="n"/>
      <c r="I11" s="4" t="n"/>
      <c r="J11" s="4" t="n"/>
      <c r="K11" s="7">
        <f>MAX(IF(AND(D11&lt;&gt;"",E11&lt;&gt;"",F11&lt;&gt;""),D11*0.25+E11*0.35+F11*0.40,0),IF(AND(G11&lt;&gt;"",H11&lt;&gt;""),G11*0.65+H11*0.35,0),IF(AND(I11&lt;&gt;"",J11&lt;&gt;""),I11*0.60+J11*0.40,0))</f>
        <v/>
      </c>
      <c r="L11" s="4" t="n">
        <v>62</v>
      </c>
      <c r="M11" s="4" t="n">
        <v>76</v>
      </c>
      <c r="N11" s="7">
        <f>IF(L11="","",L11*0.70+IF(M11="",0,M11)*0.30)</f>
        <v/>
      </c>
      <c r="O11" s="4" t="n"/>
      <c r="P11" s="4" t="n">
        <v>90</v>
      </c>
      <c r="Q11" s="4" t="n">
        <v>100</v>
      </c>
      <c r="R11" s="7">
        <f>IF(P11="","",IF(O11="",0,O11)*0.35+P11*0.35+IF(Q11="",0,Q11)*0.30)</f>
        <v/>
      </c>
      <c r="S11" s="4" t="n"/>
      <c r="T11" s="4" t="n">
        <v>43</v>
      </c>
      <c r="U11" s="4" t="n"/>
      <c r="V11" s="7">
        <f>IF(T11="","",IF(S11="",0,S11)*0.35+T11*0.35+IF(U11="",0,U11)*0.30)</f>
        <v/>
      </c>
      <c r="W11" s="4" t="n"/>
      <c r="X11" s="4" t="n"/>
      <c r="Y11" s="4" t="n"/>
      <c r="Z11" s="7">
        <f>IF(X11="","",IF(W11="",0,W11)*0.35+X11*0.35+IF(Y11="",0,Y11)*0.30)</f>
        <v/>
      </c>
      <c r="AA11" s="4" t="n"/>
      <c r="AB11" s="4" t="n"/>
      <c r="AC11" s="4" t="n"/>
      <c r="AD11" s="7">
        <f>IF(AB11="","",IF(AA11="",0,AA11)*0.35+AB11*0.35+IF(AC11="",0,AC11)*0.30)</f>
        <v/>
      </c>
      <c r="AE11" s="4" t="n"/>
      <c r="AF11" s="4" t="n"/>
      <c r="AG11" s="4" t="n"/>
      <c r="AH11" s="4" t="n"/>
      <c r="AI11" s="4" t="n"/>
      <c r="AJ11" s="4" t="n"/>
      <c r="AK11" s="4" t="n"/>
      <c r="AL11" s="4" t="n"/>
      <c r="AM11" s="7" t="n">
        <v>0</v>
      </c>
      <c r="AN11" s="4" t="n">
        <v>0</v>
      </c>
      <c r="AO11" s="4" t="n">
        <v>0</v>
      </c>
      <c r="AP11" s="4" t="n"/>
      <c r="AQ11" s="4" t="n"/>
      <c r="AR11" s="4" t="n"/>
      <c r="AS11" s="4" t="n"/>
    </row>
    <row r="12">
      <c r="A12" s="7" t="inlineStr">
        <is>
          <t>333068609</t>
        </is>
      </c>
      <c r="B12" s="11" t="inlineStr">
        <is>
          <t>טקלה איתי</t>
        </is>
      </c>
      <c r="C12" s="7" t="inlineStr">
        <is>
          <t>יא'1</t>
        </is>
      </c>
      <c r="D12" s="4" t="n">
        <v>100</v>
      </c>
      <c r="E12" s="4" t="n"/>
      <c r="F12" s="4" t="n"/>
      <c r="G12" s="4" t="n"/>
      <c r="H12" s="4" t="n"/>
      <c r="I12" s="4" t="n"/>
      <c r="J12" s="4" t="n"/>
      <c r="K12" s="7">
        <f>MAX(IF(AND(D12&lt;&gt;"",E12&lt;&gt;"",F12&lt;&gt;""),D12*0.25+E12*0.35+F12*0.40,0),IF(AND(G12&lt;&gt;"",H12&lt;&gt;""),G12*0.65+H12*0.35,0),IF(AND(I12&lt;&gt;"",J12&lt;&gt;""),I12*0.60+J12*0.40,0))</f>
        <v/>
      </c>
      <c r="L12" s="4" t="n">
        <v>50</v>
      </c>
      <c r="M12" s="4" t="n">
        <v>67</v>
      </c>
      <c r="N12" s="7">
        <f>IF(L12="","",L12*0.70+IF(M12="",0,M12)*0.30)</f>
        <v/>
      </c>
      <c r="O12" s="4" t="n"/>
      <c r="P12" s="4" t="n">
        <v>90</v>
      </c>
      <c r="Q12" s="4" t="n">
        <v>100</v>
      </c>
      <c r="R12" s="7">
        <f>IF(P12="","",IF(O12="",0,O12)*0.35+P12*0.35+IF(Q12="",0,Q12)*0.30)</f>
        <v/>
      </c>
      <c r="S12" s="4" t="n"/>
      <c r="T12" s="4" t="n">
        <v>28</v>
      </c>
      <c r="U12" s="4" t="n"/>
      <c r="V12" s="7">
        <f>IF(T12="","",IF(S12="",0,S12)*0.35+T12*0.35+IF(U12="",0,U12)*0.30)</f>
        <v/>
      </c>
      <c r="W12" s="4" t="n"/>
      <c r="X12" s="4" t="n"/>
      <c r="Y12" s="4" t="n"/>
      <c r="Z12" s="7">
        <f>IF(X12="","",IF(W12="",0,W12)*0.35+X12*0.35+IF(Y12="",0,Y12)*0.30)</f>
        <v/>
      </c>
      <c r="AA12" s="4" t="n"/>
      <c r="AB12" s="4" t="n"/>
      <c r="AC12" s="4" t="n"/>
      <c r="AD12" s="7">
        <f>IF(AB12="","",IF(AA12="",0,AA12)*0.35+AB12*0.35+IF(AC12="",0,AC12)*0.30)</f>
        <v/>
      </c>
      <c r="AE12" s="4" t="n"/>
      <c r="AF12" s="4" t="n"/>
      <c r="AG12" s="4" t="n"/>
      <c r="AH12" s="4" t="n"/>
      <c r="AI12" s="4" t="n"/>
      <c r="AJ12" s="4" t="n"/>
      <c r="AK12" s="4" t="n"/>
      <c r="AL12" s="4" t="n"/>
      <c r="AM12" s="7" t="n">
        <v>0</v>
      </c>
      <c r="AN12" s="4" t="n">
        <v>0</v>
      </c>
      <c r="AO12" s="4" t="n">
        <v>0</v>
      </c>
      <c r="AP12" s="4" t="n"/>
      <c r="AQ12" s="4" t="n"/>
      <c r="AR12" s="4" t="n"/>
      <c r="AS12" s="4" t="n"/>
    </row>
    <row r="13">
      <c r="A13" s="7" t="inlineStr">
        <is>
          <t>218504579</t>
        </is>
      </c>
      <c r="B13" s="11" t="inlineStr">
        <is>
          <t>לוקס סיון</t>
        </is>
      </c>
      <c r="C13" s="7" t="inlineStr">
        <is>
          <t>יא'1</t>
        </is>
      </c>
      <c r="D13" s="4" t="n">
        <v>100</v>
      </c>
      <c r="E13" s="4" t="n"/>
      <c r="F13" s="4" t="n"/>
      <c r="G13" s="4" t="n"/>
      <c r="H13" s="4" t="n"/>
      <c r="I13" s="4" t="n"/>
      <c r="J13" s="4" t="n"/>
      <c r="K13" s="7">
        <f>MAX(IF(AND(D13&lt;&gt;"",E13&lt;&gt;"",F13&lt;&gt;""),D13*0.25+E13*0.35+F13*0.40,0),IF(AND(G13&lt;&gt;"",H13&lt;&gt;""),G13*0.65+H13*0.35,0),IF(AND(I13&lt;&gt;"",J13&lt;&gt;""),I13*0.60+J13*0.40,0))</f>
        <v/>
      </c>
      <c r="L13" s="4" t="n">
        <v>40</v>
      </c>
      <c r="M13" s="4" t="n">
        <v>88</v>
      </c>
      <c r="N13" s="7">
        <f>IF(L13="","",L13*0.70+IF(M13="",0,M13)*0.30)</f>
        <v/>
      </c>
      <c r="O13" s="4" t="n"/>
      <c r="P13" s="4" t="n">
        <v>80</v>
      </c>
      <c r="Q13" s="4" t="n">
        <v>85</v>
      </c>
      <c r="R13" s="7">
        <f>IF(P13="","",IF(O13="",0,O13)*0.35+P13*0.35+IF(Q13="",0,Q13)*0.30)</f>
        <v/>
      </c>
      <c r="S13" s="4" t="n"/>
      <c r="T13" s="4" t="n">
        <v>42</v>
      </c>
      <c r="U13" s="4" t="n"/>
      <c r="V13" s="7">
        <f>IF(T13="","",IF(S13="",0,S13)*0.35+T13*0.35+IF(U13="",0,U13)*0.30)</f>
        <v/>
      </c>
      <c r="W13" s="4" t="n"/>
      <c r="X13" s="4" t="n"/>
      <c r="Y13" s="4" t="n"/>
      <c r="Z13" s="7">
        <f>IF(X13="","",IF(W13="",0,W13)*0.35+X13*0.35+IF(Y13="",0,Y13)*0.30)</f>
        <v/>
      </c>
      <c r="AA13" s="4" t="n"/>
      <c r="AB13" s="4" t="n"/>
      <c r="AC13" s="4" t="n"/>
      <c r="AD13" s="7">
        <f>IF(AB13="","",IF(AA13="",0,AA13)*0.35+AB13*0.35+IF(AC13="",0,AC13)*0.30)</f>
        <v/>
      </c>
      <c r="AE13" s="4" t="n"/>
      <c r="AF13" s="4" t="n"/>
      <c r="AG13" s="4" t="n"/>
      <c r="AH13" s="4" t="n"/>
      <c r="AI13" s="4" t="n"/>
      <c r="AJ13" s="4" t="n"/>
      <c r="AK13" s="4" t="n"/>
      <c r="AL13" s="4" t="n"/>
      <c r="AM13" s="7" t="n">
        <v>0</v>
      </c>
      <c r="AN13" s="4" t="n">
        <v>0</v>
      </c>
      <c r="AO13" s="4" t="n">
        <v>0</v>
      </c>
      <c r="AP13" s="4" t="n"/>
      <c r="AQ13" s="4" t="n"/>
      <c r="AR13" s="4" t="n"/>
      <c r="AS13" s="4" t="n"/>
    </row>
    <row r="14">
      <c r="A14" s="7" t="inlineStr">
        <is>
          <t>218597250</t>
        </is>
      </c>
      <c r="B14" s="11" t="inlineStr">
        <is>
          <t>מורציאנו לינוי</t>
        </is>
      </c>
      <c r="C14" s="7" t="inlineStr">
        <is>
          <t>יא'1</t>
        </is>
      </c>
      <c r="D14" s="4" t="n">
        <v>94</v>
      </c>
      <c r="E14" s="4" t="n"/>
      <c r="F14" s="4" t="n"/>
      <c r="G14" s="4" t="n"/>
      <c r="H14" s="4" t="n"/>
      <c r="I14" s="4" t="n"/>
      <c r="J14" s="4" t="n"/>
      <c r="K14" s="7">
        <f>MAX(IF(AND(D14&lt;&gt;"",E14&lt;&gt;"",F14&lt;&gt;""),D14*0.25+E14*0.35+F14*0.40,0),IF(AND(G14&lt;&gt;"",H14&lt;&gt;""),G14*0.65+H14*0.35,0),IF(AND(I14&lt;&gt;"",J14&lt;&gt;""),I14*0.60+J14*0.40,0))</f>
        <v/>
      </c>
      <c r="L14" s="4" t="n"/>
      <c r="M14" s="4" t="n"/>
      <c r="N14" s="7">
        <f>IF(L14="","",L14*0.70+IF(M14="",0,M14)*0.30)</f>
        <v/>
      </c>
      <c r="O14" s="4" t="n"/>
      <c r="P14" s="4" t="n">
        <v>56</v>
      </c>
      <c r="Q14" s="4" t="n">
        <v>100</v>
      </c>
      <c r="R14" s="7">
        <f>IF(P14="","",IF(O14="",0,O14)*0.35+P14*0.35+IF(Q14="",0,Q14)*0.30)</f>
        <v/>
      </c>
      <c r="S14" s="4" t="n"/>
      <c r="T14" s="4" t="n"/>
      <c r="U14" s="4" t="n"/>
      <c r="V14" s="7">
        <f>IF(T14="","",IF(S14="",0,S14)*0.35+T14*0.35+IF(U14="",0,U14)*0.30)</f>
        <v/>
      </c>
      <c r="W14" s="4" t="n"/>
      <c r="X14" s="4" t="n"/>
      <c r="Y14" s="4" t="n"/>
      <c r="Z14" s="7">
        <f>IF(X14="","",IF(W14="",0,W14)*0.35+X14*0.35+IF(Y14="",0,Y14)*0.30)</f>
        <v/>
      </c>
      <c r="AA14" s="4" t="n"/>
      <c r="AB14" s="4" t="n"/>
      <c r="AC14" s="4" t="n"/>
      <c r="AD14" s="7">
        <f>IF(AB14="","",IF(AA14="",0,AA14)*0.35+AB14*0.35+IF(AC14="",0,AC14)*0.30)</f>
        <v/>
      </c>
      <c r="AE14" s="4" t="n"/>
      <c r="AF14" s="4" t="n"/>
      <c r="AG14" s="4" t="n"/>
      <c r="AH14" s="4" t="n"/>
      <c r="AI14" s="4" t="n"/>
      <c r="AJ14" s="4" t="n"/>
      <c r="AK14" s="4" t="n"/>
      <c r="AL14" s="4" t="n"/>
      <c r="AM14" s="7" t="n">
        <v>0</v>
      </c>
      <c r="AN14" s="4" t="n">
        <v>0</v>
      </c>
      <c r="AO14" s="4" t="n">
        <v>0</v>
      </c>
      <c r="AP14" s="4" t="n"/>
      <c r="AQ14" s="4" t="n"/>
      <c r="AR14" s="4" t="n"/>
      <c r="AS14" s="4" t="n"/>
    </row>
    <row r="15">
      <c r="A15" s="7" t="inlineStr">
        <is>
          <t>333762920</t>
        </is>
      </c>
      <c r="B15" s="11" t="inlineStr">
        <is>
          <t>מקטה הודיה</t>
        </is>
      </c>
      <c r="C15" s="7" t="inlineStr">
        <is>
          <t>יא'1</t>
        </is>
      </c>
      <c r="D15" s="4" t="n">
        <v>91</v>
      </c>
      <c r="E15" s="4" t="n"/>
      <c r="F15" s="4" t="n"/>
      <c r="G15" s="4" t="n"/>
      <c r="H15" s="4" t="n"/>
      <c r="I15" s="4" t="n"/>
      <c r="J15" s="4" t="n"/>
      <c r="K15" s="7">
        <f>MAX(IF(AND(D15&lt;&gt;"",E15&lt;&gt;"",F15&lt;&gt;""),D15*0.25+E15*0.35+F15*0.40,0),IF(AND(G15&lt;&gt;"",H15&lt;&gt;""),G15*0.65+H15*0.35,0),IF(AND(I15&lt;&gt;"",J15&lt;&gt;""),I15*0.60+J15*0.40,0))</f>
        <v/>
      </c>
      <c r="L15" s="4" t="n"/>
      <c r="M15" s="4" t="n">
        <v>42</v>
      </c>
      <c r="N15" s="7">
        <f>IF(L15="","",L15*0.70+IF(M15="",0,M15)*0.30)</f>
        <v/>
      </c>
      <c r="O15" s="4" t="n"/>
      <c r="P15" s="4" t="n">
        <v>60</v>
      </c>
      <c r="Q15" s="4" t="n">
        <v>100</v>
      </c>
      <c r="R15" s="7">
        <f>IF(P15="","",IF(O15="",0,O15)*0.35+P15*0.35+IF(Q15="",0,Q15)*0.30)</f>
        <v/>
      </c>
      <c r="S15" s="4" t="n"/>
      <c r="T15" s="4" t="n">
        <v>29</v>
      </c>
      <c r="U15" s="4" t="n"/>
      <c r="V15" s="7">
        <f>IF(T15="","",IF(S15="",0,S15)*0.35+T15*0.35+IF(U15="",0,U15)*0.30)</f>
        <v/>
      </c>
      <c r="W15" s="4" t="n"/>
      <c r="X15" s="4" t="n"/>
      <c r="Y15" s="4" t="n"/>
      <c r="Z15" s="7">
        <f>IF(X15="","",IF(W15="",0,W15)*0.35+X15*0.35+IF(Y15="",0,Y15)*0.30)</f>
        <v/>
      </c>
      <c r="AA15" s="4" t="n"/>
      <c r="AB15" s="4" t="n"/>
      <c r="AC15" s="4" t="n"/>
      <c r="AD15" s="7">
        <f>IF(AB15="","",IF(AA15="",0,AA15)*0.35+AB15*0.35+IF(AC15="",0,AC15)*0.30)</f>
        <v/>
      </c>
      <c r="AE15" s="4" t="n"/>
      <c r="AF15" s="4" t="n"/>
      <c r="AG15" s="4" t="n"/>
      <c r="AH15" s="4" t="n"/>
      <c r="AI15" s="4" t="n"/>
      <c r="AJ15" s="4" t="n"/>
      <c r="AK15" s="4" t="n"/>
      <c r="AL15" s="4" t="n"/>
      <c r="AM15" s="7" t="n">
        <v>0</v>
      </c>
      <c r="AN15" s="4" t="n">
        <v>0</v>
      </c>
      <c r="AO15" s="4" t="n">
        <v>0</v>
      </c>
      <c r="AP15" s="4" t="n"/>
      <c r="AQ15" s="4" t="n"/>
      <c r="AR15" s="4" t="n"/>
      <c r="AS15" s="4" t="n"/>
    </row>
    <row r="16">
      <c r="A16" s="7" t="inlineStr">
        <is>
          <t>333086700</t>
        </is>
      </c>
      <c r="B16" s="11" t="inlineStr">
        <is>
          <t>נדם דנה</t>
        </is>
      </c>
      <c r="C16" s="7" t="inlineStr">
        <is>
          <t>יא'1</t>
        </is>
      </c>
      <c r="D16" s="4" t="n">
        <v>100</v>
      </c>
      <c r="E16" s="4" t="n"/>
      <c r="F16" s="4" t="n"/>
      <c r="G16" s="4" t="n"/>
      <c r="H16" s="4" t="n"/>
      <c r="I16" s="4" t="n"/>
      <c r="J16" s="4" t="n"/>
      <c r="K16" s="7">
        <f>MAX(IF(AND(D16&lt;&gt;"",E16&lt;&gt;"",F16&lt;&gt;""),D16*0.25+E16*0.35+F16*0.40,0),IF(AND(G16&lt;&gt;"",H16&lt;&gt;""),G16*0.65+H16*0.35,0),IF(AND(I16&lt;&gt;"",J16&lt;&gt;""),I16*0.60+J16*0.40,0))</f>
        <v/>
      </c>
      <c r="L16" s="4" t="n">
        <v>71</v>
      </c>
      <c r="M16" s="4" t="n">
        <v>76</v>
      </c>
      <c r="N16" s="7">
        <f>IF(L16="","",L16*0.70+IF(M16="",0,M16)*0.30)</f>
        <v/>
      </c>
      <c r="O16" s="4" t="n"/>
      <c r="P16" s="4" t="n">
        <v>70</v>
      </c>
      <c r="Q16" s="4" t="n">
        <v>100</v>
      </c>
      <c r="R16" s="7">
        <f>IF(P16="","",IF(O16="",0,O16)*0.35+P16*0.35+IF(Q16="",0,Q16)*0.30)</f>
        <v/>
      </c>
      <c r="S16" s="4" t="n"/>
      <c r="T16" s="4" t="n">
        <v>62</v>
      </c>
      <c r="U16" s="4" t="n"/>
      <c r="V16" s="7">
        <f>IF(T16="","",IF(S16="",0,S16)*0.35+T16*0.35+IF(U16="",0,U16)*0.30)</f>
        <v/>
      </c>
      <c r="W16" s="4" t="n"/>
      <c r="X16" s="4" t="n"/>
      <c r="Y16" s="4" t="n"/>
      <c r="Z16" s="7">
        <f>IF(X16="","",IF(W16="",0,W16)*0.35+X16*0.35+IF(Y16="",0,Y16)*0.30)</f>
        <v/>
      </c>
      <c r="AA16" s="4" t="n"/>
      <c r="AB16" s="4" t="n"/>
      <c r="AC16" s="4" t="n"/>
      <c r="AD16" s="7">
        <f>IF(AB16="","",IF(AA16="",0,AA16)*0.35+AB16*0.35+IF(AC16="",0,AC16)*0.30)</f>
        <v/>
      </c>
      <c r="AE16" s="4" t="n"/>
      <c r="AF16" s="4" t="n"/>
      <c r="AG16" s="4" t="n"/>
      <c r="AH16" s="4" t="n"/>
      <c r="AI16" s="4" t="n"/>
      <c r="AJ16" s="4" t="n"/>
      <c r="AK16" s="4" t="n"/>
      <c r="AL16" s="4" t="n"/>
      <c r="AM16" s="7" t="n">
        <v>0</v>
      </c>
      <c r="AN16" s="4" t="n">
        <v>0</v>
      </c>
      <c r="AO16" s="4" t="n">
        <v>0</v>
      </c>
      <c r="AP16" s="4" t="n"/>
      <c r="AQ16" s="4" t="n"/>
      <c r="AR16" s="4" t="n"/>
      <c r="AS16" s="4" t="n"/>
    </row>
    <row r="17">
      <c r="A17" s="7" t="inlineStr">
        <is>
          <t>333086718</t>
        </is>
      </c>
      <c r="B17" s="11" t="inlineStr">
        <is>
          <t>נדם עלמה</t>
        </is>
      </c>
      <c r="C17" s="7" t="inlineStr">
        <is>
          <t>יא'1</t>
        </is>
      </c>
      <c r="D17" s="4" t="n">
        <v>100</v>
      </c>
      <c r="E17" s="4" t="n"/>
      <c r="F17" s="4" t="n"/>
      <c r="G17" s="4" t="n"/>
      <c r="H17" s="4" t="n"/>
      <c r="I17" s="4" t="n"/>
      <c r="J17" s="4" t="n"/>
      <c r="K17" s="7">
        <f>MAX(IF(AND(D17&lt;&gt;"",E17&lt;&gt;"",F17&lt;&gt;""),D17*0.25+E17*0.35+F17*0.40,0),IF(AND(G17&lt;&gt;"",H17&lt;&gt;""),G17*0.65+H17*0.35,0),IF(AND(I17&lt;&gt;"",J17&lt;&gt;""),I17*0.60+J17*0.40,0))</f>
        <v/>
      </c>
      <c r="L17" s="4" t="n">
        <v>51</v>
      </c>
      <c r="M17" s="4" t="n">
        <v>55</v>
      </c>
      <c r="N17" s="7">
        <f>IF(L17="","",L17*0.70+IF(M17="",0,M17)*0.30)</f>
        <v/>
      </c>
      <c r="O17" s="4" t="n"/>
      <c r="P17" s="4" t="n">
        <v>70</v>
      </c>
      <c r="Q17" s="4" t="n">
        <v>100</v>
      </c>
      <c r="R17" s="7">
        <f>IF(P17="","",IF(O17="",0,O17)*0.35+P17*0.35+IF(Q17="",0,Q17)*0.30)</f>
        <v/>
      </c>
      <c r="S17" s="4" t="n"/>
      <c r="T17" s="4" t="n">
        <v>13</v>
      </c>
      <c r="U17" s="4" t="n"/>
      <c r="V17" s="7">
        <f>IF(T17="","",IF(S17="",0,S17)*0.35+T17*0.35+IF(U17="",0,U17)*0.30)</f>
        <v/>
      </c>
      <c r="W17" s="4" t="n"/>
      <c r="X17" s="4" t="n"/>
      <c r="Y17" s="4" t="n"/>
      <c r="Z17" s="7">
        <f>IF(X17="","",IF(W17="",0,W17)*0.35+X17*0.35+IF(Y17="",0,Y17)*0.30)</f>
        <v/>
      </c>
      <c r="AA17" s="4" t="n"/>
      <c r="AB17" s="4" t="n"/>
      <c r="AC17" s="4" t="n"/>
      <c r="AD17" s="7">
        <f>IF(AB17="","",IF(AA17="",0,AA17)*0.35+AB17*0.35+IF(AC17="",0,AC17)*0.30)</f>
        <v/>
      </c>
      <c r="AE17" s="4" t="n"/>
      <c r="AF17" s="4" t="n"/>
      <c r="AG17" s="4" t="n"/>
      <c r="AH17" s="4" t="n"/>
      <c r="AI17" s="4" t="n"/>
      <c r="AJ17" s="4" t="n"/>
      <c r="AK17" s="4" t="n"/>
      <c r="AL17" s="4" t="n"/>
      <c r="AM17" s="7" t="n">
        <v>0</v>
      </c>
      <c r="AN17" s="4" t="n">
        <v>0</v>
      </c>
      <c r="AO17" s="4" t="n">
        <v>0</v>
      </c>
      <c r="AP17" s="4" t="n"/>
      <c r="AQ17" s="4" t="n"/>
      <c r="AR17" s="4" t="n"/>
      <c r="AS17" s="4" t="n"/>
    </row>
    <row r="18">
      <c r="A18" s="7" t="inlineStr">
        <is>
          <t>333139582</t>
        </is>
      </c>
      <c r="B18" s="11" t="inlineStr">
        <is>
          <t>סבג מאי</t>
        </is>
      </c>
      <c r="C18" s="7" t="inlineStr">
        <is>
          <t>יא'1</t>
        </is>
      </c>
      <c r="D18" s="4" t="n">
        <v>83</v>
      </c>
      <c r="E18" s="4" t="n"/>
      <c r="F18" s="4" t="n"/>
      <c r="G18" s="4" t="n"/>
      <c r="H18" s="4" t="n"/>
      <c r="I18" s="4" t="n"/>
      <c r="J18" s="4" t="n"/>
      <c r="K18" s="7">
        <f>MAX(IF(AND(D18&lt;&gt;"",E18&lt;&gt;"",F18&lt;&gt;""),D18*0.25+E18*0.35+F18*0.40,0),IF(AND(G18&lt;&gt;"",H18&lt;&gt;""),G18*0.65+H18*0.35,0),IF(AND(I18&lt;&gt;"",J18&lt;&gt;""),I18*0.60+J18*0.40,0))</f>
        <v/>
      </c>
      <c r="L18" s="4" t="n"/>
      <c r="M18" s="4" t="n"/>
      <c r="N18" s="7">
        <f>IF(L18="","",L18*0.70+IF(M18="",0,M18)*0.30)</f>
        <v/>
      </c>
      <c r="O18" s="4" t="n"/>
      <c r="P18" s="4" t="n">
        <v>56</v>
      </c>
      <c r="Q18" s="4" t="n">
        <v>90</v>
      </c>
      <c r="R18" s="7">
        <f>IF(P18="","",IF(O18="",0,O18)*0.35+P18*0.35+IF(Q18="",0,Q18)*0.30)</f>
        <v/>
      </c>
      <c r="S18" s="4" t="n"/>
      <c r="T18" s="4" t="n"/>
      <c r="U18" s="4" t="n"/>
      <c r="V18" s="7">
        <f>IF(T18="","",IF(S18="",0,S18)*0.35+T18*0.35+IF(U18="",0,U18)*0.30)</f>
        <v/>
      </c>
      <c r="W18" s="4" t="n"/>
      <c r="X18" s="4" t="n"/>
      <c r="Y18" s="4" t="n"/>
      <c r="Z18" s="7">
        <f>IF(X18="","",IF(W18="",0,W18)*0.35+X18*0.35+IF(Y18="",0,Y18)*0.30)</f>
        <v/>
      </c>
      <c r="AA18" s="4" t="n"/>
      <c r="AB18" s="4" t="n"/>
      <c r="AC18" s="4" t="n"/>
      <c r="AD18" s="7">
        <f>IF(AB18="","",IF(AA18="",0,AA18)*0.35+AB18*0.35+IF(AC18="",0,AC18)*0.30)</f>
        <v/>
      </c>
      <c r="AE18" s="4" t="n"/>
      <c r="AF18" s="4" t="n"/>
      <c r="AG18" s="4" t="n"/>
      <c r="AH18" s="4" t="n"/>
      <c r="AI18" s="4" t="n"/>
      <c r="AJ18" s="4" t="n"/>
      <c r="AK18" s="4" t="n"/>
      <c r="AL18" s="4" t="n"/>
      <c r="AM18" s="7" t="n">
        <v>0</v>
      </c>
      <c r="AN18" s="4" t="n">
        <v>0</v>
      </c>
      <c r="AO18" s="4" t="n">
        <v>0</v>
      </c>
      <c r="AP18" s="4" t="n"/>
      <c r="AQ18" s="4" t="n"/>
      <c r="AR18" s="4" t="n"/>
      <c r="AS18" s="4" t="n"/>
    </row>
    <row r="19">
      <c r="A19" s="7" t="inlineStr">
        <is>
          <t>332006857</t>
        </is>
      </c>
      <c r="B19" s="11" t="inlineStr">
        <is>
          <t>עומסי אור</t>
        </is>
      </c>
      <c r="C19" s="7" t="inlineStr">
        <is>
          <t>יא'1</t>
        </is>
      </c>
      <c r="D19" s="4" t="n"/>
      <c r="E19" s="4" t="n"/>
      <c r="F19" s="4" t="n"/>
      <c r="G19" s="4" t="n"/>
      <c r="H19" s="4" t="n"/>
      <c r="I19" s="4" t="n"/>
      <c r="J19" s="4" t="n"/>
      <c r="K19" s="7">
        <f>MAX(IF(AND(D19&lt;&gt;"",E19&lt;&gt;"",F19&lt;&gt;""),D19*0.25+E19*0.35+F19*0.40,0),IF(AND(G19&lt;&gt;"",H19&lt;&gt;""),G19*0.65+H19*0.35,0),IF(AND(I19&lt;&gt;"",J19&lt;&gt;""),I19*0.60+J19*0.40,0))</f>
        <v/>
      </c>
      <c r="L19" s="4" t="n"/>
      <c r="M19" s="4" t="n"/>
      <c r="N19" s="7">
        <f>IF(L19="","",L19*0.70+IF(M19="",0,M19)*0.30)</f>
        <v/>
      </c>
      <c r="O19" s="4" t="n"/>
      <c r="P19" s="4" t="n">
        <v>56</v>
      </c>
      <c r="Q19" s="4" t="n">
        <v>90</v>
      </c>
      <c r="R19" s="7">
        <f>IF(P19="","",IF(O19="",0,O19)*0.35+P19*0.35+IF(Q19="",0,Q19)*0.30)</f>
        <v/>
      </c>
      <c r="S19" s="4" t="n"/>
      <c r="T19" s="4" t="n"/>
      <c r="U19" s="4" t="n"/>
      <c r="V19" s="7">
        <f>IF(T19="","",IF(S19="",0,S19)*0.35+T19*0.35+IF(U19="",0,U19)*0.30)</f>
        <v/>
      </c>
      <c r="W19" s="4" t="n"/>
      <c r="X19" s="4" t="n"/>
      <c r="Y19" s="4" t="n"/>
      <c r="Z19" s="7">
        <f>IF(X19="","",IF(W19="",0,W19)*0.35+X19*0.35+IF(Y19="",0,Y19)*0.30)</f>
        <v/>
      </c>
      <c r="AA19" s="4" t="n"/>
      <c r="AB19" s="4" t="n"/>
      <c r="AC19" s="4" t="n"/>
      <c r="AD19" s="7">
        <f>IF(AB19="","",IF(AA19="",0,AA19)*0.35+AB19*0.35+IF(AC19="",0,AC19)*0.30)</f>
        <v/>
      </c>
      <c r="AE19" s="4" t="n"/>
      <c r="AF19" s="4" t="n"/>
      <c r="AG19" s="4" t="n"/>
      <c r="AH19" s="4" t="n"/>
      <c r="AI19" s="4" t="n"/>
      <c r="AJ19" s="4" t="n"/>
      <c r="AK19" s="4" t="n"/>
      <c r="AL19" s="4" t="n"/>
      <c r="AM19" s="7" t="n">
        <v>0</v>
      </c>
      <c r="AN19" s="4" t="n">
        <v>0</v>
      </c>
      <c r="AO19" s="4" t="n">
        <v>0</v>
      </c>
      <c r="AP19" s="4" t="n"/>
      <c r="AQ19" s="4" t="n"/>
      <c r="AR19" s="4" t="n"/>
      <c r="AS19" s="4" t="n"/>
    </row>
    <row r="20">
      <c r="A20" s="7" t="inlineStr">
        <is>
          <t>348419466</t>
        </is>
      </c>
      <c r="B20" s="11" t="inlineStr">
        <is>
          <t>פלוטניקוב פבליה פולינה</t>
        </is>
      </c>
      <c r="C20" s="7" t="inlineStr">
        <is>
          <t>יא'1</t>
        </is>
      </c>
      <c r="D20" s="4" t="n"/>
      <c r="E20" s="4" t="n"/>
      <c r="F20" s="4" t="n"/>
      <c r="G20" s="4" t="n"/>
      <c r="H20" s="4" t="n"/>
      <c r="I20" s="4" t="n"/>
      <c r="J20" s="4" t="n"/>
      <c r="K20" s="7">
        <f>MAX(IF(AND(D20&lt;&gt;"",E20&lt;&gt;"",F20&lt;&gt;""),D20*0.25+E20*0.35+F20*0.40,0),IF(AND(G20&lt;&gt;"",H20&lt;&gt;""),G20*0.65+H20*0.35,0),IF(AND(I20&lt;&gt;"",J20&lt;&gt;""),I20*0.60+J20*0.40,0))</f>
        <v/>
      </c>
      <c r="L20" s="4" t="n"/>
      <c r="M20" s="4" t="n"/>
      <c r="N20" s="7">
        <f>IF(L20="","",L20*0.70+IF(M20="",0,M20)*0.30)</f>
        <v/>
      </c>
      <c r="O20" s="4" t="n"/>
      <c r="P20" s="4" t="n"/>
      <c r="Q20" s="4" t="n"/>
      <c r="R20" s="7">
        <f>IF(P20="","",IF(O20="",0,O20)*0.35+P20*0.35+IF(Q20="",0,Q20)*0.30)</f>
        <v/>
      </c>
      <c r="S20" s="4" t="n"/>
      <c r="T20" s="4" t="n">
        <v>87</v>
      </c>
      <c r="U20" s="4" t="n"/>
      <c r="V20" s="7">
        <f>IF(T20="","",IF(S20="",0,S20)*0.35+T20*0.35+IF(U20="",0,U20)*0.30)</f>
        <v/>
      </c>
      <c r="W20" s="4" t="n"/>
      <c r="X20" s="4" t="n"/>
      <c r="Y20" s="4" t="n"/>
      <c r="Z20" s="7">
        <f>IF(X20="","",IF(W20="",0,W20)*0.35+X20*0.35+IF(Y20="",0,Y20)*0.30)</f>
        <v/>
      </c>
      <c r="AA20" s="4" t="n"/>
      <c r="AB20" s="4" t="n"/>
      <c r="AC20" s="4" t="n"/>
      <c r="AD20" s="7">
        <f>IF(AB20="","",IF(AA20="",0,AA20)*0.35+AB20*0.35+IF(AC20="",0,AC20)*0.30)</f>
        <v/>
      </c>
      <c r="AE20" s="4" t="n"/>
      <c r="AF20" s="4" t="n"/>
      <c r="AG20" s="4" t="n"/>
      <c r="AH20" s="4" t="n"/>
      <c r="AI20" s="4" t="n"/>
      <c r="AJ20" s="4" t="n"/>
      <c r="AK20" s="4" t="n"/>
      <c r="AL20" s="4" t="n"/>
      <c r="AM20" s="7" t="n">
        <v>0</v>
      </c>
      <c r="AN20" s="4" t="n">
        <v>0</v>
      </c>
      <c r="AO20" s="4" t="n">
        <v>0</v>
      </c>
      <c r="AP20" s="4" t="n"/>
      <c r="AQ20" s="4" t="n"/>
      <c r="AR20" s="4" t="n"/>
      <c r="AS20" s="4" t="n"/>
    </row>
    <row r="21">
      <c r="A21" s="7" t="inlineStr">
        <is>
          <t>333069722</t>
        </is>
      </c>
      <c r="B21" s="11" t="inlineStr">
        <is>
          <t>ארביב יואב</t>
        </is>
      </c>
      <c r="C21" s="7" t="inlineStr">
        <is>
          <t>יא'2</t>
        </is>
      </c>
      <c r="D21" s="8" t="n">
        <v>100</v>
      </c>
      <c r="E21" s="8" t="n"/>
      <c r="F21" s="8" t="n"/>
      <c r="G21" s="8" t="n"/>
      <c r="H21" s="8" t="n"/>
      <c r="I21" s="8" t="n"/>
      <c r="J21" s="8" t="n"/>
      <c r="K21" s="7">
        <f>MAX(IF(AND(D21&lt;&gt;"",E21&lt;&gt;"",F21&lt;&gt;""),D21*0.25+E21*0.35+F21*0.40,0),IF(AND(G21&lt;&gt;"",H21&lt;&gt;""),G21*0.65+H21*0.35,0),IF(AND(I21&lt;&gt;"",J21&lt;&gt;""),I21*0.60+J21*0.40,0))</f>
        <v/>
      </c>
      <c r="L21" s="8" t="n">
        <v>55</v>
      </c>
      <c r="M21" s="8" t="n"/>
      <c r="N21" s="7">
        <f>IF(L21="","",L21*0.70+IF(M21="",0,M21)*0.30)</f>
        <v/>
      </c>
      <c r="O21" s="8" t="n"/>
      <c r="P21" s="8" t="n">
        <v>95</v>
      </c>
      <c r="Q21" s="8" t="n">
        <v>100</v>
      </c>
      <c r="R21" s="7">
        <f>IF(P21="","",IF(O21="",0,O21)*0.35+P21*0.35+IF(Q21="",0,Q21)*0.30)</f>
        <v/>
      </c>
      <c r="S21" s="8" t="n"/>
      <c r="T21" s="8" t="n"/>
      <c r="U21" s="8" t="n"/>
      <c r="V21" s="7">
        <f>IF(T21="","",IF(S21="",0,S21)*0.35+T21*0.35+IF(U21="",0,U21)*0.30)</f>
        <v/>
      </c>
      <c r="W21" s="8" t="n"/>
      <c r="X21" s="8" t="n"/>
      <c r="Y21" s="8" t="n"/>
      <c r="Z21" s="7">
        <f>IF(X21="","",IF(W21="",0,W21)*0.35+X21*0.35+IF(Y21="",0,Y21)*0.30)</f>
        <v/>
      </c>
      <c r="AA21" s="8" t="n"/>
      <c r="AB21" s="8" t="n"/>
      <c r="AC21" s="8" t="n"/>
      <c r="AD21" s="7">
        <f>IF(AB21="","",IF(AA21="",0,AA21)*0.35+AB21*0.35+IF(AC21="",0,AC21)*0.30)</f>
        <v/>
      </c>
      <c r="AE21" s="8" t="n"/>
      <c r="AF21" s="8" t="n"/>
      <c r="AG21" s="8" t="n"/>
      <c r="AH21" s="8" t="n"/>
      <c r="AI21" s="8" t="n"/>
      <c r="AJ21" s="8" t="n"/>
      <c r="AK21" s="8" t="n"/>
      <c r="AL21" s="8" t="n"/>
      <c r="AM21" s="7" t="n">
        <v>0</v>
      </c>
      <c r="AN21" s="8" t="n">
        <v>0</v>
      </c>
      <c r="AO21" s="8" t="n">
        <v>0</v>
      </c>
      <c r="AP21" s="8" t="n"/>
      <c r="AQ21" s="8" t="n"/>
      <c r="AR21" s="8" t="n"/>
      <c r="AS21" s="8" t="n"/>
    </row>
    <row r="22">
      <c r="A22" s="7" t="inlineStr">
        <is>
          <t>332920156</t>
        </is>
      </c>
      <c r="B22" s="11" t="inlineStr">
        <is>
          <t>יוחנוב ליאור</t>
        </is>
      </c>
      <c r="C22" s="7" t="inlineStr">
        <is>
          <t>יא'2</t>
        </is>
      </c>
      <c r="D22" s="8" t="n">
        <v>77</v>
      </c>
      <c r="E22" s="8" t="n"/>
      <c r="F22" s="8" t="n"/>
      <c r="G22" s="8" t="n"/>
      <c r="H22" s="8" t="n"/>
      <c r="I22" s="8" t="n"/>
      <c r="J22" s="8" t="n"/>
      <c r="K22" s="7">
        <f>MAX(IF(AND(D22&lt;&gt;"",E22&lt;&gt;"",F22&lt;&gt;""),D22*0.25+E22*0.35+F22*0.40,0),IF(AND(G22&lt;&gt;"",H22&lt;&gt;""),G22*0.65+H22*0.35,0),IF(AND(I22&lt;&gt;"",J22&lt;&gt;""),I22*0.60+J22*0.40,0))</f>
        <v/>
      </c>
      <c r="L22" s="8" t="n"/>
      <c r="M22" s="8" t="n"/>
      <c r="N22" s="7">
        <f>IF(L22="","",L22*0.70+IF(M22="",0,M22)*0.30)</f>
        <v/>
      </c>
      <c r="O22" s="8" t="n"/>
      <c r="P22" s="8" t="n">
        <v>65</v>
      </c>
      <c r="Q22" s="8" t="n">
        <v>90</v>
      </c>
      <c r="R22" s="7">
        <f>IF(P22="","",IF(O22="",0,O22)*0.35+P22*0.35+IF(Q22="",0,Q22)*0.30)</f>
        <v/>
      </c>
      <c r="S22" s="8" t="n"/>
      <c r="T22" s="8" t="n"/>
      <c r="U22" s="8" t="n"/>
      <c r="V22" s="7">
        <f>IF(T22="","",IF(S22="",0,S22)*0.35+T22*0.35+IF(U22="",0,U22)*0.30)</f>
        <v/>
      </c>
      <c r="W22" s="8" t="n"/>
      <c r="X22" s="8" t="n"/>
      <c r="Y22" s="8" t="n"/>
      <c r="Z22" s="7">
        <f>IF(X22="","",IF(W22="",0,W22)*0.35+X22*0.35+IF(Y22="",0,Y22)*0.30)</f>
        <v/>
      </c>
      <c r="AA22" s="8" t="n"/>
      <c r="AB22" s="8" t="n"/>
      <c r="AC22" s="8" t="n"/>
      <c r="AD22" s="7">
        <f>IF(AB22="","",IF(AA22="",0,AA22)*0.35+AB22*0.35+IF(AC22="",0,AC22)*0.30)</f>
        <v/>
      </c>
      <c r="AE22" s="8" t="n"/>
      <c r="AF22" s="8" t="n"/>
      <c r="AG22" s="8" t="n"/>
      <c r="AH22" s="8" t="n"/>
      <c r="AI22" s="8" t="n"/>
      <c r="AJ22" s="8" t="n"/>
      <c r="AK22" s="8" t="n"/>
      <c r="AL22" s="8" t="n"/>
      <c r="AM22" s="7" t="n">
        <v>0</v>
      </c>
      <c r="AN22" s="8" t="n">
        <v>0</v>
      </c>
      <c r="AO22" s="8" t="n">
        <v>0</v>
      </c>
      <c r="AP22" s="8" t="n"/>
      <c r="AQ22" s="8" t="n"/>
      <c r="AR22" s="8" t="n"/>
      <c r="AS22" s="8" t="n"/>
    </row>
    <row r="23">
      <c r="A23" s="7" t="inlineStr">
        <is>
          <t>217978212</t>
        </is>
      </c>
      <c r="B23" s="11" t="inlineStr">
        <is>
          <t>ניסן אורטל</t>
        </is>
      </c>
      <c r="C23" s="7" t="inlineStr">
        <is>
          <t>יא'2</t>
        </is>
      </c>
      <c r="D23" s="8" t="n">
        <v>100</v>
      </c>
      <c r="E23" s="8" t="n"/>
      <c r="F23" s="8" t="n"/>
      <c r="G23" s="8" t="n"/>
      <c r="H23" s="8" t="n"/>
      <c r="I23" s="8" t="n"/>
      <c r="J23" s="8" t="n"/>
      <c r="K23" s="7">
        <f>MAX(IF(AND(D23&lt;&gt;"",E23&lt;&gt;"",F23&lt;&gt;""),D23*0.25+E23*0.35+F23*0.40,0),IF(AND(G23&lt;&gt;"",H23&lt;&gt;""),G23*0.65+H23*0.35,0),IF(AND(I23&lt;&gt;"",J23&lt;&gt;""),I23*0.60+J23*0.40,0))</f>
        <v/>
      </c>
      <c r="L23" s="8" t="n">
        <v>74</v>
      </c>
      <c r="M23" s="8" t="n">
        <v>88</v>
      </c>
      <c r="N23" s="7">
        <f>IF(L23="","",L23*0.70+IF(M23="",0,M23)*0.30)</f>
        <v/>
      </c>
      <c r="O23" s="8" t="n"/>
      <c r="P23" s="8" t="n">
        <v>100</v>
      </c>
      <c r="Q23" s="8" t="n">
        <v>100</v>
      </c>
      <c r="R23" s="7">
        <f>IF(P23="","",IF(O23="",0,O23)*0.35+P23*0.35+IF(Q23="",0,Q23)*0.30)</f>
        <v/>
      </c>
      <c r="S23" s="8" t="n"/>
      <c r="T23" s="8" t="n"/>
      <c r="U23" s="8" t="n"/>
      <c r="V23" s="7">
        <f>IF(T23="","",IF(S23="",0,S23)*0.35+T23*0.35+IF(U23="",0,U23)*0.30)</f>
        <v/>
      </c>
      <c r="W23" s="8" t="n"/>
      <c r="X23" s="8" t="n"/>
      <c r="Y23" s="8" t="n"/>
      <c r="Z23" s="7">
        <f>IF(X23="","",IF(W23="",0,W23)*0.35+X23*0.35+IF(Y23="",0,Y23)*0.30)</f>
        <v/>
      </c>
      <c r="AA23" s="8" t="n"/>
      <c r="AB23" s="8" t="n"/>
      <c r="AC23" s="8" t="n"/>
      <c r="AD23" s="7">
        <f>IF(AB23="","",IF(AA23="",0,AA23)*0.35+AB23*0.35+IF(AC23="",0,AC23)*0.30)</f>
        <v/>
      </c>
      <c r="AE23" s="8" t="n"/>
      <c r="AF23" s="8" t="n"/>
      <c r="AG23" s="8" t="n"/>
      <c r="AH23" s="8" t="n"/>
      <c r="AI23" s="8" t="n"/>
      <c r="AJ23" s="8" t="n"/>
      <c r="AK23" s="8" t="n"/>
      <c r="AL23" s="8" t="n"/>
      <c r="AM23" s="7" t="n">
        <v>0</v>
      </c>
      <c r="AN23" s="8" t="n">
        <v>0</v>
      </c>
      <c r="AO23" s="8" t="n">
        <v>0</v>
      </c>
      <c r="AP23" s="8" t="n"/>
      <c r="AQ23" s="8" t="n"/>
      <c r="AR23" s="8" t="n"/>
      <c r="AS23" s="8" t="n"/>
    </row>
    <row r="24">
      <c r="A24" s="7" t="inlineStr">
        <is>
          <t>333673523</t>
        </is>
      </c>
      <c r="B24" s="11" t="inlineStr">
        <is>
          <t>סילס שרית רפאלה</t>
        </is>
      </c>
      <c r="C24" s="7" t="inlineStr">
        <is>
          <t>יא'2</t>
        </is>
      </c>
      <c r="D24" s="8" t="n">
        <v>67</v>
      </c>
      <c r="E24" s="8" t="n"/>
      <c r="F24" s="8" t="n"/>
      <c r="G24" s="8" t="n"/>
      <c r="H24" s="8" t="n"/>
      <c r="I24" s="8" t="n"/>
      <c r="J24" s="8" t="n"/>
      <c r="K24" s="7">
        <f>MAX(IF(AND(D24&lt;&gt;"",E24&lt;&gt;"",F24&lt;&gt;""),D24*0.25+E24*0.35+F24*0.40,0),IF(AND(G24&lt;&gt;"",H24&lt;&gt;""),G24*0.65+H24*0.35,0),IF(AND(I24&lt;&gt;"",J24&lt;&gt;""),I24*0.60+J24*0.40,0))</f>
        <v/>
      </c>
      <c r="L24" s="8" t="n"/>
      <c r="M24" s="8" t="n">
        <v>57</v>
      </c>
      <c r="N24" s="7">
        <f>IF(L24="","",L24*0.70+IF(M24="",0,M24)*0.30)</f>
        <v/>
      </c>
      <c r="O24" s="8" t="n"/>
      <c r="P24" s="8" t="n">
        <v>80</v>
      </c>
      <c r="Q24" s="8" t="n">
        <v>80</v>
      </c>
      <c r="R24" s="7">
        <f>IF(P24="","",IF(O24="",0,O24)*0.35+P24*0.35+IF(Q24="",0,Q24)*0.30)</f>
        <v/>
      </c>
      <c r="S24" s="8" t="n"/>
      <c r="T24" s="8" t="n"/>
      <c r="U24" s="8" t="n"/>
      <c r="V24" s="7">
        <f>IF(T24="","",IF(S24="",0,S24)*0.35+T24*0.35+IF(U24="",0,U24)*0.30)</f>
        <v/>
      </c>
      <c r="W24" s="8" t="n"/>
      <c r="X24" s="8" t="n"/>
      <c r="Y24" s="8" t="n"/>
      <c r="Z24" s="7">
        <f>IF(X24="","",IF(W24="",0,W24)*0.35+X24*0.35+IF(Y24="",0,Y24)*0.30)</f>
        <v/>
      </c>
      <c r="AA24" s="8" t="n"/>
      <c r="AB24" s="8" t="n"/>
      <c r="AC24" s="8" t="n"/>
      <c r="AD24" s="7">
        <f>IF(AB24="","",IF(AA24="",0,AA24)*0.35+AB24*0.35+IF(AC24="",0,AC24)*0.30)</f>
        <v/>
      </c>
      <c r="AE24" s="8" t="n"/>
      <c r="AF24" s="8" t="n"/>
      <c r="AG24" s="8" t="n"/>
      <c r="AH24" s="8" t="n"/>
      <c r="AI24" s="8" t="n"/>
      <c r="AJ24" s="8" t="n"/>
      <c r="AK24" s="8" t="n"/>
      <c r="AL24" s="8" t="n"/>
      <c r="AM24" s="7" t="n">
        <v>0</v>
      </c>
      <c r="AN24" s="8" t="n">
        <v>0</v>
      </c>
      <c r="AO24" s="8" t="n">
        <v>0</v>
      </c>
      <c r="AP24" s="8" t="n"/>
      <c r="AQ24" s="8" t="n"/>
      <c r="AR24" s="8" t="n"/>
      <c r="AS24" s="8" t="n"/>
    </row>
    <row r="25">
      <c r="A25" s="7" t="inlineStr">
        <is>
          <t>333136471</t>
        </is>
      </c>
      <c r="B25" s="11" t="inlineStr">
        <is>
          <t>פיצחדזה ניקול</t>
        </is>
      </c>
      <c r="C25" s="7" t="inlineStr">
        <is>
          <t>יא'2</t>
        </is>
      </c>
      <c r="D25" s="8" t="n">
        <v>100</v>
      </c>
      <c r="E25" s="8" t="n"/>
      <c r="F25" s="8" t="n"/>
      <c r="G25" s="8" t="n"/>
      <c r="H25" s="8" t="n"/>
      <c r="I25" s="8" t="n"/>
      <c r="J25" s="8" t="n"/>
      <c r="K25" s="7">
        <f>MAX(IF(AND(D25&lt;&gt;"",E25&lt;&gt;"",F25&lt;&gt;""),D25*0.25+E25*0.35+F25*0.40,0),IF(AND(G25&lt;&gt;"",H25&lt;&gt;""),G25*0.65+H25*0.35,0),IF(AND(I25&lt;&gt;"",J25&lt;&gt;""),I25*0.60+J25*0.40,0))</f>
        <v/>
      </c>
      <c r="L25" s="8" t="n">
        <v>69</v>
      </c>
      <c r="M25" s="8" t="n">
        <v>60</v>
      </c>
      <c r="N25" s="7">
        <f>IF(L25="","",L25*0.70+IF(M25="",0,M25)*0.30)</f>
        <v/>
      </c>
      <c r="O25" s="8" t="n"/>
      <c r="P25" s="8" t="n">
        <v>60</v>
      </c>
      <c r="Q25" s="8" t="n">
        <v>100</v>
      </c>
      <c r="R25" s="7">
        <f>IF(P25="","",IF(O25="",0,O25)*0.35+P25*0.35+IF(Q25="",0,Q25)*0.30)</f>
        <v/>
      </c>
      <c r="S25" s="8" t="n"/>
      <c r="T25" s="8" t="n"/>
      <c r="U25" s="8" t="n"/>
      <c r="V25" s="7">
        <f>IF(T25="","",IF(S25="",0,S25)*0.35+T25*0.35+IF(U25="",0,U25)*0.30)</f>
        <v/>
      </c>
      <c r="W25" s="8" t="n"/>
      <c r="X25" s="8" t="n"/>
      <c r="Y25" s="8" t="n"/>
      <c r="Z25" s="7">
        <f>IF(X25="","",IF(W25="",0,W25)*0.35+X25*0.35+IF(Y25="",0,Y25)*0.30)</f>
        <v/>
      </c>
      <c r="AA25" s="8" t="n"/>
      <c r="AB25" s="8" t="n"/>
      <c r="AC25" s="8" t="n"/>
      <c r="AD25" s="7">
        <f>IF(AB25="","",IF(AA25="",0,AA25)*0.35+AB25*0.35+IF(AC25="",0,AC25)*0.30)</f>
        <v/>
      </c>
      <c r="AE25" s="8" t="n"/>
      <c r="AF25" s="8" t="n"/>
      <c r="AG25" s="8" t="n"/>
      <c r="AH25" s="8" t="n"/>
      <c r="AI25" s="8" t="n"/>
      <c r="AJ25" s="8" t="n"/>
      <c r="AK25" s="8" t="n"/>
      <c r="AL25" s="8" t="n"/>
      <c r="AM25" s="7" t="n">
        <v>0</v>
      </c>
      <c r="AN25" s="8" t="n">
        <v>0</v>
      </c>
      <c r="AO25" s="8" t="n">
        <v>0</v>
      </c>
      <c r="AP25" s="8" t="n"/>
      <c r="AQ25" s="8" t="n"/>
      <c r="AR25" s="8" t="n"/>
      <c r="AS25" s="8" t="n"/>
    </row>
    <row r="26">
      <c r="A26" s="7" t="inlineStr">
        <is>
          <t>217998111</t>
        </is>
      </c>
      <c r="B26" s="11" t="inlineStr">
        <is>
          <t>תורן נועם דמיאן</t>
        </is>
      </c>
      <c r="C26" s="7" t="inlineStr">
        <is>
          <t>יא'2</t>
        </is>
      </c>
      <c r="D26" s="8" t="n">
        <v>85</v>
      </c>
      <c r="E26" s="8" t="n"/>
      <c r="F26" s="8" t="n"/>
      <c r="G26" s="8" t="n"/>
      <c r="H26" s="8" t="n"/>
      <c r="I26" s="8" t="n"/>
      <c r="J26" s="8" t="n"/>
      <c r="K26" s="7">
        <f>MAX(IF(AND(D26&lt;&gt;"",E26&lt;&gt;"",F26&lt;&gt;""),D26*0.25+E26*0.35+F26*0.40,0),IF(AND(G26&lt;&gt;"",H26&lt;&gt;""),G26*0.65+H26*0.35,0),IF(AND(I26&lt;&gt;"",J26&lt;&gt;""),I26*0.60+J26*0.40,0))</f>
        <v/>
      </c>
      <c r="L26" s="8" t="n"/>
      <c r="M26" s="8" t="n"/>
      <c r="N26" s="7">
        <f>IF(L26="","",L26*0.70+IF(M26="",0,M26)*0.30)</f>
        <v/>
      </c>
      <c r="O26" s="8" t="n"/>
      <c r="P26" s="8" t="n">
        <v>65</v>
      </c>
      <c r="Q26" s="8" t="n">
        <v>85</v>
      </c>
      <c r="R26" s="7">
        <f>IF(P26="","",IF(O26="",0,O26)*0.35+P26*0.35+IF(Q26="",0,Q26)*0.30)</f>
        <v/>
      </c>
      <c r="S26" s="8" t="n"/>
      <c r="T26" s="8" t="n"/>
      <c r="U26" s="8" t="n"/>
      <c r="V26" s="7">
        <f>IF(T26="","",IF(S26="",0,S26)*0.35+T26*0.35+IF(U26="",0,U26)*0.30)</f>
        <v/>
      </c>
      <c r="W26" s="8" t="n"/>
      <c r="X26" s="8" t="n"/>
      <c r="Y26" s="8" t="n"/>
      <c r="Z26" s="7">
        <f>IF(X26="","",IF(W26="",0,W26)*0.35+X26*0.35+IF(Y26="",0,Y26)*0.30)</f>
        <v/>
      </c>
      <c r="AA26" s="8" t="n"/>
      <c r="AB26" s="8" t="n"/>
      <c r="AC26" s="8" t="n"/>
      <c r="AD26" s="7">
        <f>IF(AB26="","",IF(AA26="",0,AA26)*0.35+AB26*0.35+IF(AC26="",0,AC26)*0.30)</f>
        <v/>
      </c>
      <c r="AE26" s="8" t="n"/>
      <c r="AF26" s="8" t="n"/>
      <c r="AG26" s="8" t="n"/>
      <c r="AH26" s="8" t="n"/>
      <c r="AI26" s="8" t="n"/>
      <c r="AJ26" s="8" t="n"/>
      <c r="AK26" s="8" t="n"/>
      <c r="AL26" s="8" t="n"/>
      <c r="AM26" s="7" t="n">
        <v>0</v>
      </c>
      <c r="AN26" s="8" t="n">
        <v>0</v>
      </c>
      <c r="AO26" s="8" t="n">
        <v>0</v>
      </c>
      <c r="AP26" s="8" t="n"/>
      <c r="AQ26" s="8" t="n"/>
      <c r="AR26" s="8" t="n"/>
      <c r="AS26" s="8" t="n"/>
    </row>
    <row r="27">
      <c r="A27" s="7" t="inlineStr">
        <is>
          <t>332883990</t>
        </is>
      </c>
      <c r="B27" s="11" t="inlineStr">
        <is>
          <t>אבו חאלד אסיה</t>
        </is>
      </c>
      <c r="C27" s="7" t="inlineStr">
        <is>
          <t>יא'4</t>
        </is>
      </c>
      <c r="D27" s="4" t="n"/>
      <c r="E27" s="4" t="n"/>
      <c r="F27" s="4" t="n"/>
      <c r="G27" s="4" t="n"/>
      <c r="H27" s="4" t="n"/>
      <c r="I27" s="4" t="n"/>
      <c r="J27" s="4" t="n"/>
      <c r="K27" s="7">
        <f>MAX(IF(AND(D27&lt;&gt;"",E27&lt;&gt;"",F27&lt;&gt;""),D27*0.25+E27*0.35+F27*0.40,0),IF(AND(G27&lt;&gt;"",H27&lt;&gt;""),G27*0.65+H27*0.35,0),IF(AND(I27&lt;&gt;"",J27&lt;&gt;""),I27*0.60+J27*0.40,0))</f>
        <v/>
      </c>
      <c r="L27" s="4" t="n">
        <v>56</v>
      </c>
      <c r="M27" s="4" t="n"/>
      <c r="N27" s="7">
        <f>IF(L27="","",L27*0.70+IF(M27="",0,M27)*0.30)</f>
        <v/>
      </c>
      <c r="O27" s="4" t="n"/>
      <c r="P27" s="4" t="n"/>
      <c r="Q27" s="4" t="n"/>
      <c r="R27" s="7">
        <f>IF(P27="","",IF(O27="",0,O27)*0.35+P27*0.35+IF(Q27="",0,Q27)*0.30)</f>
        <v/>
      </c>
      <c r="S27" s="4" t="n"/>
      <c r="T27" s="4" t="n">
        <v>26</v>
      </c>
      <c r="U27" s="4" t="n"/>
      <c r="V27" s="7">
        <f>IF(T27="","",IF(S27="",0,S27)*0.35+T27*0.35+IF(U27="",0,U27)*0.30)</f>
        <v/>
      </c>
      <c r="W27" s="4" t="n"/>
      <c r="X27" s="4" t="n"/>
      <c r="Y27" s="4" t="n"/>
      <c r="Z27" s="7">
        <f>IF(X27="","",IF(W27="",0,W27)*0.35+X27*0.35+IF(Y27="",0,Y27)*0.30)</f>
        <v/>
      </c>
      <c r="AA27" s="4" t="n"/>
      <c r="AB27" s="4" t="n"/>
      <c r="AC27" s="4" t="n"/>
      <c r="AD27" s="7">
        <f>IF(AB27="","",IF(AA27="",0,AA27)*0.35+AB27*0.35+IF(AC27="",0,AC27)*0.30)</f>
        <v/>
      </c>
      <c r="AE27" s="4" t="n"/>
      <c r="AF27" s="4" t="n"/>
      <c r="AG27" s="4" t="n"/>
      <c r="AH27" s="4" t="n"/>
      <c r="AI27" s="4" t="n"/>
      <c r="AJ27" s="4" t="n"/>
      <c r="AK27" s="4" t="n"/>
      <c r="AL27" s="4" t="n"/>
      <c r="AM27" s="7" t="n">
        <v>0</v>
      </c>
      <c r="AN27" s="4" t="n">
        <v>0</v>
      </c>
      <c r="AO27" s="4" t="n">
        <v>0</v>
      </c>
      <c r="AP27" s="4" t="n"/>
      <c r="AQ27" s="4" t="n"/>
      <c r="AR27" s="4" t="n"/>
      <c r="AS27" s="4" t="n"/>
    </row>
    <row r="28">
      <c r="A28" s="7" t="inlineStr">
        <is>
          <t>218545978</t>
        </is>
      </c>
      <c r="B28" s="11" t="inlineStr">
        <is>
          <t>אברה עילי</t>
        </is>
      </c>
      <c r="C28" s="7" t="inlineStr">
        <is>
          <t>יא'4</t>
        </is>
      </c>
      <c r="D28" s="4" t="n">
        <v>79</v>
      </c>
      <c r="E28" s="4" t="n"/>
      <c r="F28" s="4" t="n"/>
      <c r="G28" s="4" t="n"/>
      <c r="H28" s="4" t="n"/>
      <c r="I28" s="4" t="n"/>
      <c r="J28" s="4" t="n"/>
      <c r="K28" s="7">
        <f>MAX(IF(AND(D28&lt;&gt;"",E28&lt;&gt;"",F28&lt;&gt;""),D28*0.25+E28*0.35+F28*0.40,0),IF(AND(G28&lt;&gt;"",H28&lt;&gt;""),G28*0.65+H28*0.35,0),IF(AND(I28&lt;&gt;"",J28&lt;&gt;""),I28*0.60+J28*0.40,0))</f>
        <v/>
      </c>
      <c r="L28" s="4" t="n">
        <v>61</v>
      </c>
      <c r="M28" s="4" t="n">
        <v>71</v>
      </c>
      <c r="N28" s="7">
        <f>IF(L28="","",L28*0.70+IF(M28="",0,M28)*0.30)</f>
        <v/>
      </c>
      <c r="O28" s="4" t="n"/>
      <c r="P28" s="4" t="n">
        <v>85</v>
      </c>
      <c r="Q28" s="4" t="n">
        <v>100</v>
      </c>
      <c r="R28" s="7">
        <f>IF(P28="","",IF(O28="",0,O28)*0.35+P28*0.35+IF(Q28="",0,Q28)*0.30)</f>
        <v/>
      </c>
      <c r="S28" s="4" t="n"/>
      <c r="T28" s="4" t="n">
        <v>66</v>
      </c>
      <c r="U28" s="4" t="n"/>
      <c r="V28" s="7">
        <f>IF(T28="","",IF(S28="",0,S28)*0.35+T28*0.35+IF(U28="",0,U28)*0.30)</f>
        <v/>
      </c>
      <c r="W28" s="4" t="n"/>
      <c r="X28" s="4" t="n"/>
      <c r="Y28" s="4" t="n"/>
      <c r="Z28" s="7">
        <f>IF(X28="","",IF(W28="",0,W28)*0.35+X28*0.35+IF(Y28="",0,Y28)*0.30)</f>
        <v/>
      </c>
      <c r="AA28" s="4" t="n"/>
      <c r="AB28" s="4" t="n"/>
      <c r="AC28" s="4" t="n"/>
      <c r="AD28" s="7">
        <f>IF(AB28="","",IF(AA28="",0,AA28)*0.35+AB28*0.35+IF(AC28="",0,AC28)*0.30)</f>
        <v/>
      </c>
      <c r="AE28" s="4" t="n"/>
      <c r="AF28" s="4" t="n"/>
      <c r="AG28" s="4" t="n"/>
      <c r="AH28" s="4" t="n"/>
      <c r="AI28" s="4" t="n"/>
      <c r="AJ28" s="4" t="n"/>
      <c r="AK28" s="4" t="n"/>
      <c r="AL28" s="4" t="n"/>
      <c r="AM28" s="7" t="n">
        <v>0</v>
      </c>
      <c r="AN28" s="4" t="n">
        <v>0</v>
      </c>
      <c r="AO28" s="4" t="n">
        <v>0</v>
      </c>
      <c r="AP28" s="4" t="n"/>
      <c r="AQ28" s="4" t="n"/>
      <c r="AR28" s="4" t="n"/>
      <c r="AS28" s="4" t="n"/>
    </row>
    <row r="29">
      <c r="A29" s="7" t="inlineStr">
        <is>
          <t>333202471</t>
        </is>
      </c>
      <c r="B29" s="11" t="inlineStr">
        <is>
          <t>בכר לליה מליסה</t>
        </is>
      </c>
      <c r="C29" s="7" t="inlineStr">
        <is>
          <t>יא'4</t>
        </is>
      </c>
      <c r="D29" s="4" t="n">
        <v>79</v>
      </c>
      <c r="E29" s="4" t="n"/>
      <c r="F29" s="4" t="n"/>
      <c r="G29" s="4" t="n"/>
      <c r="H29" s="4" t="n"/>
      <c r="I29" s="4" t="n"/>
      <c r="J29" s="4" t="n"/>
      <c r="K29" s="7">
        <f>MAX(IF(AND(D29&lt;&gt;"",E29&lt;&gt;"",F29&lt;&gt;""),D29*0.25+E29*0.35+F29*0.40,0),IF(AND(G29&lt;&gt;"",H29&lt;&gt;""),G29*0.65+H29*0.35,0),IF(AND(I29&lt;&gt;"",J29&lt;&gt;""),I29*0.60+J29*0.40,0))</f>
        <v/>
      </c>
      <c r="L29" s="4" t="n"/>
      <c r="M29" s="4" t="n"/>
      <c r="N29" s="7">
        <f>IF(L29="","",L29*0.70+IF(M29="",0,M29)*0.30)</f>
        <v/>
      </c>
      <c r="O29" s="4" t="n"/>
      <c r="P29" s="4" t="n">
        <v>65</v>
      </c>
      <c r="Q29" s="4" t="n">
        <v>100</v>
      </c>
      <c r="R29" s="7">
        <f>IF(P29="","",IF(O29="",0,O29)*0.35+P29*0.35+IF(Q29="",0,Q29)*0.30)</f>
        <v/>
      </c>
      <c r="S29" s="4" t="n"/>
      <c r="T29" s="4" t="n">
        <v>23</v>
      </c>
      <c r="U29" s="4" t="n"/>
      <c r="V29" s="7">
        <f>IF(T29="","",IF(S29="",0,S29)*0.35+T29*0.35+IF(U29="",0,U29)*0.30)</f>
        <v/>
      </c>
      <c r="W29" s="4" t="n"/>
      <c r="X29" s="4" t="n"/>
      <c r="Y29" s="4" t="n"/>
      <c r="Z29" s="7">
        <f>IF(X29="","",IF(W29="",0,W29)*0.35+X29*0.35+IF(Y29="",0,Y29)*0.30)</f>
        <v/>
      </c>
      <c r="AA29" s="4" t="n"/>
      <c r="AB29" s="4" t="n"/>
      <c r="AC29" s="4" t="n"/>
      <c r="AD29" s="7">
        <f>IF(AB29="","",IF(AA29="",0,AA29)*0.35+AB29*0.35+IF(AC29="",0,AC29)*0.30)</f>
        <v/>
      </c>
      <c r="AE29" s="4" t="n"/>
      <c r="AF29" s="4" t="n"/>
      <c r="AG29" s="4" t="n"/>
      <c r="AH29" s="4" t="n"/>
      <c r="AI29" s="4" t="n"/>
      <c r="AJ29" s="4" t="n"/>
      <c r="AK29" s="4" t="n"/>
      <c r="AL29" s="4" t="n"/>
      <c r="AM29" s="7" t="n">
        <v>0</v>
      </c>
      <c r="AN29" s="4" t="n">
        <v>0</v>
      </c>
      <c r="AO29" s="4" t="n">
        <v>0</v>
      </c>
      <c r="AP29" s="4" t="n"/>
      <c r="AQ29" s="4" t="n"/>
      <c r="AR29" s="4" t="n"/>
      <c r="AS29" s="4" t="n"/>
    </row>
    <row r="30">
      <c r="A30" s="7" t="inlineStr">
        <is>
          <t>332883065</t>
        </is>
      </c>
      <c r="B30" s="11" t="inlineStr">
        <is>
          <t>בן עמי יהונתן</t>
        </is>
      </c>
      <c r="C30" s="7" t="inlineStr">
        <is>
          <t>יא'4</t>
        </is>
      </c>
      <c r="D30" s="4" t="n">
        <v>100</v>
      </c>
      <c r="E30" s="4" t="n"/>
      <c r="F30" s="4" t="n"/>
      <c r="G30" s="4" t="n"/>
      <c r="H30" s="4" t="n"/>
      <c r="I30" s="4" t="n"/>
      <c r="J30" s="4" t="n"/>
      <c r="K30" s="7">
        <f>MAX(IF(AND(D30&lt;&gt;"",E30&lt;&gt;"",F30&lt;&gt;""),D30*0.25+E30*0.35+F30*0.40,0),IF(AND(G30&lt;&gt;"",H30&lt;&gt;""),G30*0.65+H30*0.35,0),IF(AND(I30&lt;&gt;"",J30&lt;&gt;""),I30*0.60+J30*0.40,0))</f>
        <v/>
      </c>
      <c r="L30" s="4" t="n">
        <v>55</v>
      </c>
      <c r="M30" s="4" t="n">
        <v>68</v>
      </c>
      <c r="N30" s="7">
        <f>IF(L30="","",L30*0.70+IF(M30="",0,M30)*0.30)</f>
        <v/>
      </c>
      <c r="O30" s="4" t="n"/>
      <c r="P30" s="4" t="n">
        <v>85</v>
      </c>
      <c r="Q30" s="4" t="n">
        <v>100</v>
      </c>
      <c r="R30" s="7">
        <f>IF(P30="","",IF(O30="",0,O30)*0.35+P30*0.35+IF(Q30="",0,Q30)*0.30)</f>
        <v/>
      </c>
      <c r="S30" s="4" t="n"/>
      <c r="T30" s="4" t="n">
        <v>73</v>
      </c>
      <c r="U30" s="4" t="n"/>
      <c r="V30" s="7">
        <f>IF(T30="","",IF(S30="",0,S30)*0.35+T30*0.35+IF(U30="",0,U30)*0.30)</f>
        <v/>
      </c>
      <c r="W30" s="4" t="n"/>
      <c r="X30" s="4" t="n"/>
      <c r="Y30" s="4" t="n"/>
      <c r="Z30" s="7">
        <f>IF(X30="","",IF(W30="",0,W30)*0.35+X30*0.35+IF(Y30="",0,Y30)*0.30)</f>
        <v/>
      </c>
      <c r="AA30" s="4" t="n"/>
      <c r="AB30" s="4" t="n"/>
      <c r="AC30" s="4" t="n"/>
      <c r="AD30" s="7">
        <f>IF(AB30="","",IF(AA30="",0,AA30)*0.35+AB30*0.35+IF(AC30="",0,AC30)*0.30)</f>
        <v/>
      </c>
      <c r="AE30" s="4" t="n"/>
      <c r="AF30" s="4" t="n"/>
      <c r="AG30" s="4" t="n"/>
      <c r="AH30" s="4" t="n"/>
      <c r="AI30" s="4" t="n"/>
      <c r="AJ30" s="4" t="n"/>
      <c r="AK30" s="4" t="n"/>
      <c r="AL30" s="4" t="n"/>
      <c r="AM30" s="7" t="n">
        <v>0</v>
      </c>
      <c r="AN30" s="4" t="n">
        <v>0</v>
      </c>
      <c r="AO30" s="4" t="n">
        <v>0</v>
      </c>
      <c r="AP30" s="4" t="n"/>
      <c r="AQ30" s="4" t="n"/>
      <c r="AR30" s="4" t="n"/>
      <c r="AS30" s="4" t="n"/>
    </row>
    <row r="31">
      <c r="A31" s="7" t="inlineStr">
        <is>
          <t>333167740</t>
        </is>
      </c>
      <c r="B31" s="11" t="inlineStr">
        <is>
          <t>גושן מיכאל</t>
        </is>
      </c>
      <c r="C31" s="7" t="inlineStr">
        <is>
          <t>יא'4</t>
        </is>
      </c>
      <c r="D31" s="4" t="n"/>
      <c r="E31" s="4" t="n"/>
      <c r="F31" s="4" t="n"/>
      <c r="G31" s="4" t="n"/>
      <c r="H31" s="4" t="n"/>
      <c r="I31" s="4" t="n"/>
      <c r="J31" s="4" t="n"/>
      <c r="K31" s="7">
        <f>MAX(IF(AND(D31&lt;&gt;"",E31&lt;&gt;"",F31&lt;&gt;""),D31*0.25+E31*0.35+F31*0.40,0),IF(AND(G31&lt;&gt;"",H31&lt;&gt;""),G31*0.65+H31*0.35,0),IF(AND(I31&lt;&gt;"",J31&lt;&gt;""),I31*0.60+J31*0.40,0))</f>
        <v/>
      </c>
      <c r="L31" s="4" t="n">
        <v>81</v>
      </c>
      <c r="M31" s="4" t="n">
        <v>93</v>
      </c>
      <c r="N31" s="7">
        <f>IF(L31="","",L31*0.70+IF(M31="",0,M31)*0.30)</f>
        <v/>
      </c>
      <c r="O31" s="4" t="n"/>
      <c r="P31" s="4" t="n">
        <v>100</v>
      </c>
      <c r="Q31" s="4" t="n">
        <v>100</v>
      </c>
      <c r="R31" s="7">
        <f>IF(P31="","",IF(O31="",0,O31)*0.35+P31*0.35+IF(Q31="",0,Q31)*0.30)</f>
        <v/>
      </c>
      <c r="S31" s="4" t="n"/>
      <c r="T31" s="4" t="n">
        <v>82</v>
      </c>
      <c r="U31" s="4" t="n"/>
      <c r="V31" s="7">
        <f>IF(T31="","",IF(S31="",0,S31)*0.35+T31*0.35+IF(U31="",0,U31)*0.30)</f>
        <v/>
      </c>
      <c r="W31" s="4" t="n"/>
      <c r="X31" s="4" t="n"/>
      <c r="Y31" s="4" t="n"/>
      <c r="Z31" s="7">
        <f>IF(X31="","",IF(W31="",0,W31)*0.35+X31*0.35+IF(Y31="",0,Y31)*0.30)</f>
        <v/>
      </c>
      <c r="AA31" s="4" t="n"/>
      <c r="AB31" s="4" t="n"/>
      <c r="AC31" s="4" t="n"/>
      <c r="AD31" s="7">
        <f>IF(AB31="","",IF(AA31="",0,AA31)*0.35+AB31*0.35+IF(AC31="",0,AC31)*0.30)</f>
        <v/>
      </c>
      <c r="AE31" s="4" t="n"/>
      <c r="AF31" s="4" t="n"/>
      <c r="AG31" s="4" t="n"/>
      <c r="AH31" s="4" t="n"/>
      <c r="AI31" s="4" t="n"/>
      <c r="AJ31" s="4" t="n"/>
      <c r="AK31" s="4" t="n"/>
      <c r="AL31" s="4" t="n"/>
      <c r="AM31" s="7" t="n">
        <v>0</v>
      </c>
      <c r="AN31" s="4" t="n">
        <v>0</v>
      </c>
      <c r="AO31" s="4" t="n">
        <v>0</v>
      </c>
      <c r="AP31" s="4" t="n"/>
      <c r="AQ31" s="4" t="n"/>
      <c r="AR31" s="4" t="n"/>
      <c r="AS31" s="4" t="n"/>
    </row>
    <row r="32">
      <c r="A32" s="7" t="inlineStr">
        <is>
          <t>218124535</t>
        </is>
      </c>
      <c r="B32" s="11" t="inlineStr">
        <is>
          <t>טגנה אושר-חימנוט</t>
        </is>
      </c>
      <c r="C32" s="7" t="inlineStr">
        <is>
          <t>יא'4</t>
        </is>
      </c>
      <c r="D32" s="4" t="n"/>
      <c r="E32" s="4" t="n"/>
      <c r="F32" s="4" t="n"/>
      <c r="G32" s="4" t="n"/>
      <c r="H32" s="4" t="n"/>
      <c r="I32" s="4" t="n"/>
      <c r="J32" s="4" t="n"/>
      <c r="K32" s="7">
        <f>MAX(IF(AND(D32&lt;&gt;"",E32&lt;&gt;"",F32&lt;&gt;""),D32*0.25+E32*0.35+F32*0.40,0),IF(AND(G32&lt;&gt;"",H32&lt;&gt;""),G32*0.65+H32*0.35,0),IF(AND(I32&lt;&gt;"",J32&lt;&gt;""),I32*0.60+J32*0.40,0))</f>
        <v/>
      </c>
      <c r="L32" s="4" t="n">
        <v>73</v>
      </c>
      <c r="M32" s="4" t="n">
        <v>89</v>
      </c>
      <c r="N32" s="7">
        <f>IF(L32="","",L32*0.70+IF(M32="",0,M32)*0.30)</f>
        <v/>
      </c>
      <c r="O32" s="4" t="n"/>
      <c r="P32" s="4" t="n">
        <v>90</v>
      </c>
      <c r="Q32" s="4" t="n">
        <v>100</v>
      </c>
      <c r="R32" s="7">
        <f>IF(P32="","",IF(O32="",0,O32)*0.35+P32*0.35+IF(Q32="",0,Q32)*0.30)</f>
        <v/>
      </c>
      <c r="S32" s="4" t="n"/>
      <c r="T32" s="4" t="n">
        <v>57</v>
      </c>
      <c r="U32" s="4" t="n"/>
      <c r="V32" s="7">
        <f>IF(T32="","",IF(S32="",0,S32)*0.35+T32*0.35+IF(U32="",0,U32)*0.30)</f>
        <v/>
      </c>
      <c r="W32" s="4" t="n"/>
      <c r="X32" s="4" t="n"/>
      <c r="Y32" s="4" t="n"/>
      <c r="Z32" s="7">
        <f>IF(X32="","",IF(W32="",0,W32)*0.35+X32*0.35+IF(Y32="",0,Y32)*0.30)</f>
        <v/>
      </c>
      <c r="AA32" s="4" t="n"/>
      <c r="AB32" s="4" t="n"/>
      <c r="AC32" s="4" t="n"/>
      <c r="AD32" s="7">
        <f>IF(AB32="","",IF(AA32="",0,AA32)*0.35+AB32*0.35+IF(AC32="",0,AC32)*0.30)</f>
        <v/>
      </c>
      <c r="AE32" s="4" t="n"/>
      <c r="AF32" s="4" t="n"/>
      <c r="AG32" s="4" t="n"/>
      <c r="AH32" s="4" t="n"/>
      <c r="AI32" s="4" t="n"/>
      <c r="AJ32" s="4" t="n"/>
      <c r="AK32" s="4" t="n"/>
      <c r="AL32" s="4" t="n"/>
      <c r="AM32" s="7" t="n">
        <v>0</v>
      </c>
      <c r="AN32" s="4" t="n">
        <v>0</v>
      </c>
      <c r="AO32" s="4" t="n">
        <v>0</v>
      </c>
      <c r="AP32" s="4" t="n"/>
      <c r="AQ32" s="4" t="n"/>
      <c r="AR32" s="4" t="n"/>
      <c r="AS32" s="4" t="n"/>
    </row>
    <row r="33">
      <c r="A33" s="7" t="inlineStr">
        <is>
          <t>334230489</t>
        </is>
      </c>
      <c r="B33" s="11" t="inlineStr">
        <is>
          <t>טל אייל</t>
        </is>
      </c>
      <c r="C33" s="7" t="inlineStr">
        <is>
          <t>יא'4</t>
        </is>
      </c>
      <c r="D33" s="4" t="n"/>
      <c r="E33" s="4" t="n"/>
      <c r="F33" s="4" t="n"/>
      <c r="G33" s="4" t="n"/>
      <c r="H33" s="4" t="n"/>
      <c r="I33" s="4" t="n"/>
      <c r="J33" s="4" t="n"/>
      <c r="K33" s="7">
        <f>MAX(IF(AND(D33&lt;&gt;"",E33&lt;&gt;"",F33&lt;&gt;""),D33*0.25+E33*0.35+F33*0.40,0),IF(AND(G33&lt;&gt;"",H33&lt;&gt;""),G33*0.65+H33*0.35,0),IF(AND(I33&lt;&gt;"",J33&lt;&gt;""),I33*0.60+J33*0.40,0))</f>
        <v/>
      </c>
      <c r="L33" s="4" t="n">
        <v>64</v>
      </c>
      <c r="M33" s="4" t="n">
        <v>83</v>
      </c>
      <c r="N33" s="7">
        <f>IF(L33="","",L33*0.70+IF(M33="",0,M33)*0.30)</f>
        <v/>
      </c>
      <c r="O33" s="4" t="n"/>
      <c r="P33" s="4" t="n">
        <v>95</v>
      </c>
      <c r="Q33" s="4" t="n">
        <v>100</v>
      </c>
      <c r="R33" s="7">
        <f>IF(P33="","",IF(O33="",0,O33)*0.35+P33*0.35+IF(Q33="",0,Q33)*0.30)</f>
        <v/>
      </c>
      <c r="S33" s="4" t="n"/>
      <c r="T33" s="4" t="n">
        <v>67</v>
      </c>
      <c r="U33" s="4" t="n"/>
      <c r="V33" s="7">
        <f>IF(T33="","",IF(S33="",0,S33)*0.35+T33*0.35+IF(U33="",0,U33)*0.30)</f>
        <v/>
      </c>
      <c r="W33" s="4" t="n"/>
      <c r="X33" s="4" t="n"/>
      <c r="Y33" s="4" t="n"/>
      <c r="Z33" s="7">
        <f>IF(X33="","",IF(W33="",0,W33)*0.35+X33*0.35+IF(Y33="",0,Y33)*0.30)</f>
        <v/>
      </c>
      <c r="AA33" s="4" t="n"/>
      <c r="AB33" s="4" t="n"/>
      <c r="AC33" s="4" t="n"/>
      <c r="AD33" s="7">
        <f>IF(AB33="","",IF(AA33="",0,AA33)*0.35+AB33*0.35+IF(AC33="",0,AC33)*0.30)</f>
        <v/>
      </c>
      <c r="AE33" s="4" t="n"/>
      <c r="AF33" s="4" t="n"/>
      <c r="AG33" s="4" t="n"/>
      <c r="AH33" s="4" t="n"/>
      <c r="AI33" s="4" t="n"/>
      <c r="AJ33" s="4" t="n"/>
      <c r="AK33" s="4" t="n"/>
      <c r="AL33" s="4" t="n"/>
      <c r="AM33" s="7" t="n">
        <v>0</v>
      </c>
      <c r="AN33" s="4" t="n">
        <v>0</v>
      </c>
      <c r="AO33" s="4" t="n">
        <v>0</v>
      </c>
      <c r="AP33" s="4" t="n"/>
      <c r="AQ33" s="4" t="n"/>
      <c r="AR33" s="4" t="n"/>
      <c r="AS33" s="4" t="n"/>
    </row>
    <row r="34">
      <c r="A34" s="7" t="inlineStr">
        <is>
          <t>218578367</t>
        </is>
      </c>
      <c r="B34" s="11" t="inlineStr">
        <is>
          <t>ישראל נוגה</t>
        </is>
      </c>
      <c r="C34" s="7" t="inlineStr">
        <is>
          <t>יא'4</t>
        </is>
      </c>
      <c r="D34" s="4" t="n"/>
      <c r="E34" s="4" t="n"/>
      <c r="F34" s="4" t="n"/>
      <c r="G34" s="4" t="n"/>
      <c r="H34" s="4" t="n"/>
      <c r="I34" s="4" t="n"/>
      <c r="J34" s="4" t="n"/>
      <c r="K34" s="7">
        <f>MAX(IF(AND(D34&lt;&gt;"",E34&lt;&gt;"",F34&lt;&gt;""),D34*0.25+E34*0.35+F34*0.40,0),IF(AND(G34&lt;&gt;"",H34&lt;&gt;""),G34*0.65+H34*0.35,0),IF(AND(I34&lt;&gt;"",J34&lt;&gt;""),I34*0.60+J34*0.40,0))</f>
        <v/>
      </c>
      <c r="L34" s="4" t="n"/>
      <c r="M34" s="4" t="n">
        <v>95</v>
      </c>
      <c r="N34" s="7">
        <f>IF(L34="","",L34*0.70+IF(M34="",0,M34)*0.30)</f>
        <v/>
      </c>
      <c r="O34" s="4" t="n"/>
      <c r="P34" s="4" t="n">
        <v>90</v>
      </c>
      <c r="Q34" s="4" t="n">
        <v>95</v>
      </c>
      <c r="R34" s="7">
        <f>IF(P34="","",IF(O34="",0,O34)*0.35+P34*0.35+IF(Q34="",0,Q34)*0.30)</f>
        <v/>
      </c>
      <c r="S34" s="4" t="n"/>
      <c r="T34" s="4" t="n">
        <v>37</v>
      </c>
      <c r="U34" s="4" t="n"/>
      <c r="V34" s="7">
        <f>IF(T34="","",IF(S34="",0,S34)*0.35+T34*0.35+IF(U34="",0,U34)*0.30)</f>
        <v/>
      </c>
      <c r="W34" s="4" t="n"/>
      <c r="X34" s="4" t="n"/>
      <c r="Y34" s="4" t="n"/>
      <c r="Z34" s="7">
        <f>IF(X34="","",IF(W34="",0,W34)*0.35+X34*0.35+IF(Y34="",0,Y34)*0.30)</f>
        <v/>
      </c>
      <c r="AA34" s="4" t="n"/>
      <c r="AB34" s="4" t="n"/>
      <c r="AC34" s="4" t="n"/>
      <c r="AD34" s="7">
        <f>IF(AB34="","",IF(AA34="",0,AA34)*0.35+AB34*0.35+IF(AC34="",0,AC34)*0.30)</f>
        <v/>
      </c>
      <c r="AE34" s="4" t="n"/>
      <c r="AF34" s="4" t="n"/>
      <c r="AG34" s="4" t="n"/>
      <c r="AH34" s="4" t="n"/>
      <c r="AI34" s="4" t="n"/>
      <c r="AJ34" s="4" t="n"/>
      <c r="AK34" s="4" t="n"/>
      <c r="AL34" s="4" t="n"/>
      <c r="AM34" s="7" t="n">
        <v>0</v>
      </c>
      <c r="AN34" s="4" t="n">
        <v>0</v>
      </c>
      <c r="AO34" s="4" t="n">
        <v>0</v>
      </c>
      <c r="AP34" s="4" t="n"/>
      <c r="AQ34" s="4" t="n"/>
      <c r="AR34" s="4" t="n"/>
      <c r="AS34" s="4" t="n"/>
    </row>
    <row r="35">
      <c r="A35" s="7" t="inlineStr">
        <is>
          <t>337861850</t>
        </is>
      </c>
      <c r="B35" s="11" t="inlineStr">
        <is>
          <t>לבטוב ולדיסלב</t>
        </is>
      </c>
      <c r="C35" s="7" t="inlineStr">
        <is>
          <t>יא'4</t>
        </is>
      </c>
      <c r="D35" s="4" t="n"/>
      <c r="E35" s="4" t="n"/>
      <c r="F35" s="4" t="n"/>
      <c r="G35" s="4" t="n"/>
      <c r="H35" s="4" t="n"/>
      <c r="I35" s="4" t="n"/>
      <c r="J35" s="4" t="n"/>
      <c r="K35" s="7">
        <f>MAX(IF(AND(D35&lt;&gt;"",E35&lt;&gt;"",F35&lt;&gt;""),D35*0.25+E35*0.35+F35*0.40,0),IF(AND(G35&lt;&gt;"",H35&lt;&gt;""),G35*0.65+H35*0.35,0),IF(AND(I35&lt;&gt;"",J35&lt;&gt;""),I35*0.60+J35*0.40,0))</f>
        <v/>
      </c>
      <c r="L35" s="4" t="n">
        <v>52</v>
      </c>
      <c r="M35" s="4" t="n">
        <v>84</v>
      </c>
      <c r="N35" s="7">
        <f>IF(L35="","",L35*0.70+IF(M35="",0,M35)*0.30)</f>
        <v/>
      </c>
      <c r="O35" s="4" t="n"/>
      <c r="P35" s="4" t="n">
        <v>93</v>
      </c>
      <c r="Q35" s="4" t="n">
        <v>100</v>
      </c>
      <c r="R35" s="7">
        <f>IF(P35="","",IF(O35="",0,O35)*0.35+P35*0.35+IF(Q35="",0,Q35)*0.30)</f>
        <v/>
      </c>
      <c r="S35" s="4" t="n"/>
      <c r="T35" s="4" t="n">
        <v>41</v>
      </c>
      <c r="U35" s="4" t="n"/>
      <c r="V35" s="7">
        <f>IF(T35="","",IF(S35="",0,S35)*0.35+T35*0.35+IF(U35="",0,U35)*0.30)</f>
        <v/>
      </c>
      <c r="W35" s="4" t="n"/>
      <c r="X35" s="4" t="n"/>
      <c r="Y35" s="4" t="n"/>
      <c r="Z35" s="7">
        <f>IF(X35="","",IF(W35="",0,W35)*0.35+X35*0.35+IF(Y35="",0,Y35)*0.30)</f>
        <v/>
      </c>
      <c r="AA35" s="4" t="n"/>
      <c r="AB35" s="4" t="n"/>
      <c r="AC35" s="4" t="n"/>
      <c r="AD35" s="7">
        <f>IF(AB35="","",IF(AA35="",0,AA35)*0.35+AB35*0.35+IF(AC35="",0,AC35)*0.30)</f>
        <v/>
      </c>
      <c r="AE35" s="4" t="n"/>
      <c r="AF35" s="4" t="n"/>
      <c r="AG35" s="4" t="n"/>
      <c r="AH35" s="4" t="n"/>
      <c r="AI35" s="4" t="n"/>
      <c r="AJ35" s="4" t="n"/>
      <c r="AK35" s="4" t="n"/>
      <c r="AL35" s="4" t="n"/>
      <c r="AM35" s="7" t="n">
        <v>0</v>
      </c>
      <c r="AN35" s="4" t="n">
        <v>0</v>
      </c>
      <c r="AO35" s="4" t="n">
        <v>0</v>
      </c>
      <c r="AP35" s="4" t="n"/>
      <c r="AQ35" s="4" t="n"/>
      <c r="AR35" s="4" t="n"/>
      <c r="AS35" s="4" t="n"/>
    </row>
    <row r="36">
      <c r="A36" s="7" t="inlineStr">
        <is>
          <t>218862167</t>
        </is>
      </c>
      <c r="B36" s="11" t="inlineStr">
        <is>
          <t>לוי ליאן</t>
        </is>
      </c>
      <c r="C36" s="7" t="inlineStr">
        <is>
          <t>יא'4</t>
        </is>
      </c>
      <c r="D36" s="4" t="n"/>
      <c r="E36" s="4" t="n"/>
      <c r="F36" s="4" t="n"/>
      <c r="G36" s="4" t="n"/>
      <c r="H36" s="4" t="n"/>
      <c r="I36" s="4" t="n"/>
      <c r="J36" s="4" t="n"/>
      <c r="K36" s="7">
        <f>MAX(IF(AND(D36&lt;&gt;"",E36&lt;&gt;"",F36&lt;&gt;""),D36*0.25+E36*0.35+F36*0.40,0),IF(AND(G36&lt;&gt;"",H36&lt;&gt;""),G36*0.65+H36*0.35,0),IF(AND(I36&lt;&gt;"",J36&lt;&gt;""),I36*0.60+J36*0.40,0))</f>
        <v/>
      </c>
      <c r="L36" s="4" t="n">
        <v>66</v>
      </c>
      <c r="M36" s="4" t="n"/>
      <c r="N36" s="7">
        <f>IF(L36="","",L36*0.70+IF(M36="",0,M36)*0.30)</f>
        <v/>
      </c>
      <c r="O36" s="4" t="n"/>
      <c r="P36" s="4" t="n"/>
      <c r="Q36" s="4" t="n"/>
      <c r="R36" s="7">
        <f>IF(P36="","",IF(O36="",0,O36)*0.35+P36*0.35+IF(Q36="",0,Q36)*0.30)</f>
        <v/>
      </c>
      <c r="S36" s="4" t="n"/>
      <c r="T36" s="4" t="n">
        <v>61</v>
      </c>
      <c r="U36" s="4" t="n"/>
      <c r="V36" s="7">
        <f>IF(T36="","",IF(S36="",0,S36)*0.35+T36*0.35+IF(U36="",0,U36)*0.30)</f>
        <v/>
      </c>
      <c r="W36" s="4" t="n"/>
      <c r="X36" s="4" t="n"/>
      <c r="Y36" s="4" t="n"/>
      <c r="Z36" s="7">
        <f>IF(X36="","",IF(W36="",0,W36)*0.35+X36*0.35+IF(Y36="",0,Y36)*0.30)</f>
        <v/>
      </c>
      <c r="AA36" s="4" t="n"/>
      <c r="AB36" s="4" t="n"/>
      <c r="AC36" s="4" t="n"/>
      <c r="AD36" s="7">
        <f>IF(AB36="","",IF(AA36="",0,AA36)*0.35+AB36*0.35+IF(AC36="",0,AC36)*0.30)</f>
        <v/>
      </c>
      <c r="AE36" s="4" t="n"/>
      <c r="AF36" s="4" t="n"/>
      <c r="AG36" s="4" t="n"/>
      <c r="AH36" s="4" t="n"/>
      <c r="AI36" s="4" t="n"/>
      <c r="AJ36" s="4" t="n"/>
      <c r="AK36" s="4" t="n"/>
      <c r="AL36" s="4" t="n"/>
      <c r="AM36" s="7" t="n">
        <v>0</v>
      </c>
      <c r="AN36" s="4" t="n">
        <v>0</v>
      </c>
      <c r="AO36" s="4" t="n">
        <v>0</v>
      </c>
      <c r="AP36" s="4" t="n"/>
      <c r="AQ36" s="4" t="n"/>
      <c r="AR36" s="4" t="n"/>
      <c r="AS36" s="4" t="n"/>
    </row>
    <row r="37">
      <c r="A37" s="7" t="inlineStr">
        <is>
          <t>332992031</t>
        </is>
      </c>
      <c r="B37" s="11" t="inlineStr">
        <is>
          <t>מזרחי איתי</t>
        </is>
      </c>
      <c r="C37" s="7" t="inlineStr">
        <is>
          <t>יא'4</t>
        </is>
      </c>
      <c r="D37" s="4" t="n"/>
      <c r="E37" s="4" t="n"/>
      <c r="F37" s="4" t="n"/>
      <c r="G37" s="4" t="n"/>
      <c r="H37" s="4" t="n"/>
      <c r="I37" s="4" t="n"/>
      <c r="J37" s="4" t="n"/>
      <c r="K37" s="7">
        <f>MAX(IF(AND(D37&lt;&gt;"",E37&lt;&gt;"",F37&lt;&gt;""),D37*0.25+E37*0.35+F37*0.40,0),IF(AND(G37&lt;&gt;"",H37&lt;&gt;""),G37*0.65+H37*0.35,0),IF(AND(I37&lt;&gt;"",J37&lt;&gt;""),I37*0.60+J37*0.40,0))</f>
        <v/>
      </c>
      <c r="L37" s="4" t="n">
        <v>89</v>
      </c>
      <c r="M37" s="4" t="n">
        <v>94</v>
      </c>
      <c r="N37" s="7">
        <f>IF(L37="","",L37*0.70+IF(M37="",0,M37)*0.30)</f>
        <v/>
      </c>
      <c r="O37" s="4" t="n"/>
      <c r="P37" s="4" t="n">
        <v>95</v>
      </c>
      <c r="Q37" s="4" t="n">
        <v>100</v>
      </c>
      <c r="R37" s="7">
        <f>IF(P37="","",IF(O37="",0,O37)*0.35+P37*0.35+IF(Q37="",0,Q37)*0.30)</f>
        <v/>
      </c>
      <c r="S37" s="4" t="n"/>
      <c r="T37" s="4" t="n">
        <v>74</v>
      </c>
      <c r="U37" s="4" t="n"/>
      <c r="V37" s="7">
        <f>IF(T37="","",IF(S37="",0,S37)*0.35+T37*0.35+IF(U37="",0,U37)*0.30)</f>
        <v/>
      </c>
      <c r="W37" s="4" t="n"/>
      <c r="X37" s="4" t="n"/>
      <c r="Y37" s="4" t="n"/>
      <c r="Z37" s="7">
        <f>IF(X37="","",IF(W37="",0,W37)*0.35+X37*0.35+IF(Y37="",0,Y37)*0.30)</f>
        <v/>
      </c>
      <c r="AA37" s="4" t="n"/>
      <c r="AB37" s="4" t="n"/>
      <c r="AC37" s="4" t="n"/>
      <c r="AD37" s="7">
        <f>IF(AB37="","",IF(AA37="",0,AA37)*0.35+AB37*0.35+IF(AC37="",0,AC37)*0.30)</f>
        <v/>
      </c>
      <c r="AE37" s="4" t="n"/>
      <c r="AF37" s="4" t="n"/>
      <c r="AG37" s="4" t="n"/>
      <c r="AH37" s="4" t="n"/>
      <c r="AI37" s="4" t="n"/>
      <c r="AJ37" s="4" t="n"/>
      <c r="AK37" s="4" t="n"/>
      <c r="AL37" s="4" t="n"/>
      <c r="AM37" s="7" t="n">
        <v>0</v>
      </c>
      <c r="AN37" s="4" t="n">
        <v>0</v>
      </c>
      <c r="AO37" s="4" t="n">
        <v>0</v>
      </c>
      <c r="AP37" s="4" t="n"/>
      <c r="AQ37" s="4" t="n"/>
      <c r="AR37" s="4" t="n"/>
      <c r="AS37" s="4" t="n"/>
    </row>
    <row r="38">
      <c r="A38" s="7" t="inlineStr">
        <is>
          <t>333567329</t>
        </is>
      </c>
      <c r="B38" s="11" t="inlineStr">
        <is>
          <t>מיכאלי אביגיל</t>
        </is>
      </c>
      <c r="C38" s="7" t="inlineStr">
        <is>
          <t>יא'4</t>
        </is>
      </c>
      <c r="D38" s="4" t="n"/>
      <c r="E38" s="4" t="n"/>
      <c r="F38" s="4" t="n"/>
      <c r="G38" s="4" t="n"/>
      <c r="H38" s="4" t="n"/>
      <c r="I38" s="4" t="n"/>
      <c r="J38" s="4" t="n"/>
      <c r="K38" s="7">
        <f>MAX(IF(AND(D38&lt;&gt;"",E38&lt;&gt;"",F38&lt;&gt;""),D38*0.25+E38*0.35+F38*0.40,0),IF(AND(G38&lt;&gt;"",H38&lt;&gt;""),G38*0.65+H38*0.35,0),IF(AND(I38&lt;&gt;"",J38&lt;&gt;""),I38*0.60+J38*0.40,0))</f>
        <v/>
      </c>
      <c r="L38" s="4" t="n">
        <v>86</v>
      </c>
      <c r="M38" s="4" t="n">
        <v>94</v>
      </c>
      <c r="N38" s="7">
        <f>IF(L38="","",L38*0.70+IF(M38="",0,M38)*0.30)</f>
        <v/>
      </c>
      <c r="O38" s="4" t="n"/>
      <c r="P38" s="4" t="n">
        <v>95</v>
      </c>
      <c r="Q38" s="4" t="n">
        <v>100</v>
      </c>
      <c r="R38" s="7">
        <f>IF(P38="","",IF(O38="",0,O38)*0.35+P38*0.35+IF(Q38="",0,Q38)*0.30)</f>
        <v/>
      </c>
      <c r="S38" s="4" t="n"/>
      <c r="T38" s="4" t="n">
        <v>78</v>
      </c>
      <c r="U38" s="4" t="n"/>
      <c r="V38" s="7">
        <f>IF(T38="","",IF(S38="",0,S38)*0.35+T38*0.35+IF(U38="",0,U38)*0.30)</f>
        <v/>
      </c>
      <c r="W38" s="4" t="n"/>
      <c r="X38" s="4" t="n"/>
      <c r="Y38" s="4" t="n"/>
      <c r="Z38" s="7">
        <f>IF(X38="","",IF(W38="",0,W38)*0.35+X38*0.35+IF(Y38="",0,Y38)*0.30)</f>
        <v/>
      </c>
      <c r="AA38" s="4" t="n"/>
      <c r="AB38" s="4" t="n"/>
      <c r="AC38" s="4" t="n"/>
      <c r="AD38" s="7">
        <f>IF(AB38="","",IF(AA38="",0,AA38)*0.35+AB38*0.35+IF(AC38="",0,AC38)*0.30)</f>
        <v/>
      </c>
      <c r="AE38" s="4" t="n"/>
      <c r="AF38" s="4" t="n"/>
      <c r="AG38" s="4" t="n"/>
      <c r="AH38" s="4" t="n"/>
      <c r="AI38" s="4" t="n"/>
      <c r="AJ38" s="4" t="n"/>
      <c r="AK38" s="4" t="n"/>
      <c r="AL38" s="4" t="n"/>
      <c r="AM38" s="7" t="n">
        <v>0</v>
      </c>
      <c r="AN38" s="4" t="n">
        <v>0</v>
      </c>
      <c r="AO38" s="4" t="n">
        <v>0</v>
      </c>
      <c r="AP38" s="4" t="n"/>
      <c r="AQ38" s="4" t="n"/>
      <c r="AR38" s="4" t="n"/>
      <c r="AS38" s="4" t="n"/>
    </row>
    <row r="39">
      <c r="A39" s="7" t="inlineStr">
        <is>
          <t>333628071</t>
        </is>
      </c>
      <c r="B39" s="11" t="inlineStr">
        <is>
          <t>מלדה ינון</t>
        </is>
      </c>
      <c r="C39" s="7" t="inlineStr">
        <is>
          <t>יא'4</t>
        </is>
      </c>
      <c r="D39" s="4" t="n"/>
      <c r="E39" s="4" t="n"/>
      <c r="F39" s="4" t="n"/>
      <c r="G39" s="4" t="n"/>
      <c r="H39" s="4" t="n"/>
      <c r="I39" s="4" t="n"/>
      <c r="J39" s="4" t="n"/>
      <c r="K39" s="7">
        <f>MAX(IF(AND(D39&lt;&gt;"",E39&lt;&gt;"",F39&lt;&gt;""),D39*0.25+E39*0.35+F39*0.40,0),IF(AND(G39&lt;&gt;"",H39&lt;&gt;""),G39*0.65+H39*0.35,0),IF(AND(I39&lt;&gt;"",J39&lt;&gt;""),I39*0.60+J39*0.40,0))</f>
        <v/>
      </c>
      <c r="L39" s="4" t="n"/>
      <c r="M39" s="4" t="n">
        <v>56</v>
      </c>
      <c r="N39" s="7">
        <f>IF(L39="","",L39*0.70+IF(M39="",0,M39)*0.30)</f>
        <v/>
      </c>
      <c r="O39" s="4" t="n"/>
      <c r="P39" s="4" t="n">
        <v>100</v>
      </c>
      <c r="Q39" s="4" t="n">
        <v>100</v>
      </c>
      <c r="R39" s="7">
        <f>IF(P39="","",IF(O39="",0,O39)*0.35+P39*0.35+IF(Q39="",0,Q39)*0.30)</f>
        <v/>
      </c>
      <c r="S39" s="4" t="n"/>
      <c r="T39" s="4" t="n">
        <v>65</v>
      </c>
      <c r="U39" s="4" t="n"/>
      <c r="V39" s="7">
        <f>IF(T39="","",IF(S39="",0,S39)*0.35+T39*0.35+IF(U39="",0,U39)*0.30)</f>
        <v/>
      </c>
      <c r="W39" s="4" t="n"/>
      <c r="X39" s="4" t="n"/>
      <c r="Y39" s="4" t="n"/>
      <c r="Z39" s="7">
        <f>IF(X39="","",IF(W39="",0,W39)*0.35+X39*0.35+IF(Y39="",0,Y39)*0.30)</f>
        <v/>
      </c>
      <c r="AA39" s="4" t="n"/>
      <c r="AB39" s="4" t="n"/>
      <c r="AC39" s="4" t="n"/>
      <c r="AD39" s="7">
        <f>IF(AB39="","",IF(AA39="",0,AA39)*0.35+AB39*0.35+IF(AC39="",0,AC39)*0.30)</f>
        <v/>
      </c>
      <c r="AE39" s="4" t="n"/>
      <c r="AF39" s="4" t="n"/>
      <c r="AG39" s="4" t="n"/>
      <c r="AH39" s="4" t="n"/>
      <c r="AI39" s="4" t="n"/>
      <c r="AJ39" s="4" t="n"/>
      <c r="AK39" s="4" t="n"/>
      <c r="AL39" s="4" t="n"/>
      <c r="AM39" s="7" t="n">
        <v>0</v>
      </c>
      <c r="AN39" s="4" t="n">
        <v>0</v>
      </c>
      <c r="AO39" s="4" t="n">
        <v>0</v>
      </c>
      <c r="AP39" s="4" t="n"/>
      <c r="AQ39" s="4" t="n"/>
      <c r="AR39" s="4" t="n"/>
      <c r="AS39" s="4" t="n"/>
    </row>
    <row r="40">
      <c r="A40" s="7" t="inlineStr">
        <is>
          <t>218147452</t>
        </is>
      </c>
      <c r="B40" s="11" t="inlineStr">
        <is>
          <t>מקונן שירה</t>
        </is>
      </c>
      <c r="C40" s="7" t="inlineStr">
        <is>
          <t>יא'4</t>
        </is>
      </c>
      <c r="D40" s="4" t="n">
        <v>89</v>
      </c>
      <c r="E40" s="4" t="n"/>
      <c r="F40" s="4" t="n"/>
      <c r="G40" s="4" t="n"/>
      <c r="H40" s="4" t="n"/>
      <c r="I40" s="4" t="n"/>
      <c r="J40" s="4" t="n"/>
      <c r="K40" s="7">
        <f>MAX(IF(AND(D40&lt;&gt;"",E40&lt;&gt;"",F40&lt;&gt;""),D40*0.25+E40*0.35+F40*0.40,0),IF(AND(G40&lt;&gt;"",H40&lt;&gt;""),G40*0.65+H40*0.35,0),IF(AND(I40&lt;&gt;"",J40&lt;&gt;""),I40*0.60+J40*0.40,0))</f>
        <v/>
      </c>
      <c r="L40" s="4" t="n">
        <v>35</v>
      </c>
      <c r="M40" s="4" t="n">
        <v>65</v>
      </c>
      <c r="N40" s="7">
        <f>IF(L40="","",L40*0.70+IF(M40="",0,M40)*0.30)</f>
        <v/>
      </c>
      <c r="O40" s="4" t="n"/>
      <c r="P40" s="4" t="n">
        <v>75</v>
      </c>
      <c r="Q40" s="4" t="n">
        <v>100</v>
      </c>
      <c r="R40" s="7">
        <f>IF(P40="","",IF(O40="",0,O40)*0.35+P40*0.35+IF(Q40="",0,Q40)*0.30)</f>
        <v/>
      </c>
      <c r="S40" s="4" t="n"/>
      <c r="T40" s="4" t="n">
        <v>31</v>
      </c>
      <c r="U40" s="4" t="n"/>
      <c r="V40" s="7">
        <f>IF(T40="","",IF(S40="",0,S40)*0.35+T40*0.35+IF(U40="",0,U40)*0.30)</f>
        <v/>
      </c>
      <c r="W40" s="4" t="n"/>
      <c r="X40" s="4" t="n"/>
      <c r="Y40" s="4" t="n"/>
      <c r="Z40" s="7">
        <f>IF(X40="","",IF(W40="",0,W40)*0.35+X40*0.35+IF(Y40="",0,Y40)*0.30)</f>
        <v/>
      </c>
      <c r="AA40" s="4" t="n"/>
      <c r="AB40" s="4" t="n"/>
      <c r="AC40" s="4" t="n"/>
      <c r="AD40" s="7">
        <f>IF(AB40="","",IF(AA40="",0,AA40)*0.35+AB40*0.35+IF(AC40="",0,AC40)*0.30)</f>
        <v/>
      </c>
      <c r="AE40" s="4" t="n"/>
      <c r="AF40" s="4" t="n"/>
      <c r="AG40" s="4" t="n"/>
      <c r="AH40" s="4" t="n"/>
      <c r="AI40" s="4" t="n"/>
      <c r="AJ40" s="4" t="n"/>
      <c r="AK40" s="4" t="n"/>
      <c r="AL40" s="4" t="n"/>
      <c r="AM40" s="7" t="n">
        <v>0</v>
      </c>
      <c r="AN40" s="4" t="n">
        <v>0</v>
      </c>
      <c r="AO40" s="4" t="n">
        <v>0</v>
      </c>
      <c r="AP40" s="4" t="n"/>
      <c r="AQ40" s="4" t="n"/>
      <c r="AR40" s="4" t="n"/>
      <c r="AS40" s="4" t="n"/>
    </row>
    <row r="41">
      <c r="A41" s="7" t="inlineStr">
        <is>
          <t>333762920</t>
        </is>
      </c>
      <c r="B41" s="11" t="inlineStr">
        <is>
          <t>מקטה הודיה</t>
        </is>
      </c>
      <c r="C41" s="7" t="inlineStr">
        <is>
          <t>יא'4</t>
        </is>
      </c>
      <c r="D41" s="4" t="n">
        <v>91</v>
      </c>
      <c r="E41" s="4" t="n"/>
      <c r="F41" s="4" t="n"/>
      <c r="G41" s="4" t="n"/>
      <c r="H41" s="4" t="n"/>
      <c r="I41" s="4" t="n"/>
      <c r="J41" s="4" t="n"/>
      <c r="K41" s="7">
        <f>MAX(IF(AND(D41&lt;&gt;"",E41&lt;&gt;"",F41&lt;&gt;""),D41*0.25+E41*0.35+F41*0.40,0),IF(AND(G41&lt;&gt;"",H41&lt;&gt;""),G41*0.65+H41*0.35,0),IF(AND(I41&lt;&gt;"",J41&lt;&gt;""),I41*0.60+J41*0.40,0))</f>
        <v/>
      </c>
      <c r="L41" s="4" t="n"/>
      <c r="M41" s="4" t="n">
        <v>42</v>
      </c>
      <c r="N41" s="7">
        <f>IF(L41="","",L41*0.70+IF(M41="",0,M41)*0.30)</f>
        <v/>
      </c>
      <c r="O41" s="4" t="n"/>
      <c r="P41" s="4" t="n">
        <v>60</v>
      </c>
      <c r="Q41" s="4" t="n">
        <v>100</v>
      </c>
      <c r="R41" s="7">
        <f>IF(P41="","",IF(O41="",0,O41)*0.35+P41*0.35+IF(Q41="",0,Q41)*0.30)</f>
        <v/>
      </c>
      <c r="S41" s="4" t="n"/>
      <c r="T41" s="4" t="n">
        <v>29</v>
      </c>
      <c r="U41" s="4" t="n"/>
      <c r="V41" s="7">
        <f>IF(T41="","",IF(S41="",0,S41)*0.35+T41*0.35+IF(U41="",0,U41)*0.30)</f>
        <v/>
      </c>
      <c r="W41" s="4" t="n"/>
      <c r="X41" s="4" t="n"/>
      <c r="Y41" s="4" t="n"/>
      <c r="Z41" s="7">
        <f>IF(X41="","",IF(W41="",0,W41)*0.35+X41*0.35+IF(Y41="",0,Y41)*0.30)</f>
        <v/>
      </c>
      <c r="AA41" s="4" t="n"/>
      <c r="AB41" s="4" t="n"/>
      <c r="AC41" s="4" t="n"/>
      <c r="AD41" s="7">
        <f>IF(AB41="","",IF(AA41="",0,AA41)*0.35+AB41*0.35+IF(AC41="",0,AC41)*0.30)</f>
        <v/>
      </c>
      <c r="AE41" s="4" t="n"/>
      <c r="AF41" s="4" t="n"/>
      <c r="AG41" s="4" t="n"/>
      <c r="AH41" s="4" t="n"/>
      <c r="AI41" s="4" t="n"/>
      <c r="AJ41" s="4" t="n"/>
      <c r="AK41" s="4" t="n"/>
      <c r="AL41" s="4" t="n"/>
      <c r="AM41" s="7" t="n">
        <v>0</v>
      </c>
      <c r="AN41" s="4" t="n">
        <v>0</v>
      </c>
      <c r="AO41" s="4" t="n">
        <v>0</v>
      </c>
      <c r="AP41" s="4" t="n"/>
      <c r="AQ41" s="4" t="n"/>
      <c r="AR41" s="4" t="n"/>
      <c r="AS41" s="4" t="n"/>
    </row>
    <row r="42">
      <c r="A42" s="7" t="inlineStr">
        <is>
          <t>218724177</t>
        </is>
      </c>
      <c r="B42" s="11" t="inlineStr">
        <is>
          <t>מתתיהו רומי</t>
        </is>
      </c>
      <c r="C42" s="7" t="inlineStr">
        <is>
          <t>יא'4</t>
        </is>
      </c>
      <c r="D42" s="4" t="n"/>
      <c r="E42" s="4" t="n"/>
      <c r="F42" s="4" t="n"/>
      <c r="G42" s="4" t="n"/>
      <c r="H42" s="4" t="n"/>
      <c r="I42" s="4" t="n"/>
      <c r="J42" s="4" t="n"/>
      <c r="K42" s="7">
        <f>MAX(IF(AND(D42&lt;&gt;"",E42&lt;&gt;"",F42&lt;&gt;""),D42*0.25+E42*0.35+F42*0.40,0),IF(AND(G42&lt;&gt;"",H42&lt;&gt;""),G42*0.65+H42*0.35,0),IF(AND(I42&lt;&gt;"",J42&lt;&gt;""),I42*0.60+J42*0.40,0))</f>
        <v/>
      </c>
      <c r="L42" s="4" t="n">
        <v>60</v>
      </c>
      <c r="M42" s="4" t="n">
        <v>98</v>
      </c>
      <c r="N42" s="7">
        <f>IF(L42="","",L42*0.70+IF(M42="",0,M42)*0.30)</f>
        <v/>
      </c>
      <c r="O42" s="4" t="n"/>
      <c r="P42" s="4" t="n">
        <v>85</v>
      </c>
      <c r="Q42" s="4" t="n">
        <v>100</v>
      </c>
      <c r="R42" s="7">
        <f>IF(P42="","",IF(O42="",0,O42)*0.35+P42*0.35+IF(Q42="",0,Q42)*0.30)</f>
        <v/>
      </c>
      <c r="S42" s="4" t="n"/>
      <c r="T42" s="4" t="n">
        <v>36</v>
      </c>
      <c r="U42" s="4" t="n"/>
      <c r="V42" s="7">
        <f>IF(T42="","",IF(S42="",0,S42)*0.35+T42*0.35+IF(U42="",0,U42)*0.30)</f>
        <v/>
      </c>
      <c r="W42" s="4" t="n"/>
      <c r="X42" s="4" t="n"/>
      <c r="Y42" s="4" t="n"/>
      <c r="Z42" s="7">
        <f>IF(X42="","",IF(W42="",0,W42)*0.35+X42*0.35+IF(Y42="",0,Y42)*0.30)</f>
        <v/>
      </c>
      <c r="AA42" s="4" t="n"/>
      <c r="AB42" s="4" t="n"/>
      <c r="AC42" s="4" t="n"/>
      <c r="AD42" s="7">
        <f>IF(AB42="","",IF(AA42="",0,AA42)*0.35+AB42*0.35+IF(AC42="",0,AC42)*0.30)</f>
        <v/>
      </c>
      <c r="AE42" s="4" t="n"/>
      <c r="AF42" s="4" t="n"/>
      <c r="AG42" s="4" t="n"/>
      <c r="AH42" s="4" t="n"/>
      <c r="AI42" s="4" t="n"/>
      <c r="AJ42" s="4" t="n"/>
      <c r="AK42" s="4" t="n"/>
      <c r="AL42" s="4" t="n"/>
      <c r="AM42" s="7" t="n">
        <v>0</v>
      </c>
      <c r="AN42" s="4" t="n">
        <v>0</v>
      </c>
      <c r="AO42" s="4" t="n">
        <v>0</v>
      </c>
      <c r="AP42" s="4" t="n"/>
      <c r="AQ42" s="4" t="n"/>
      <c r="AR42" s="4" t="n"/>
      <c r="AS42" s="4" t="n"/>
    </row>
    <row r="43">
      <c r="A43" s="7" t="inlineStr">
        <is>
          <t>333212785</t>
        </is>
      </c>
      <c r="B43" s="11" t="inlineStr">
        <is>
          <t>נגבקר אור</t>
        </is>
      </c>
      <c r="C43" s="7" t="inlineStr">
        <is>
          <t>יא'4</t>
        </is>
      </c>
      <c r="D43" s="4" t="n">
        <v>100</v>
      </c>
      <c r="E43" s="4" t="n"/>
      <c r="F43" s="4" t="n"/>
      <c r="G43" s="4" t="n"/>
      <c r="H43" s="4" t="n"/>
      <c r="I43" s="4" t="n"/>
      <c r="J43" s="4" t="n"/>
      <c r="K43" s="7">
        <f>MAX(IF(AND(D43&lt;&gt;"",E43&lt;&gt;"",F43&lt;&gt;""),D43*0.25+E43*0.35+F43*0.40,0),IF(AND(G43&lt;&gt;"",H43&lt;&gt;""),G43*0.65+H43*0.35,0),IF(AND(I43&lt;&gt;"",J43&lt;&gt;""),I43*0.60+J43*0.40,0))</f>
        <v/>
      </c>
      <c r="L43" s="4" t="n">
        <v>72</v>
      </c>
      <c r="M43" s="4" t="n">
        <v>78</v>
      </c>
      <c r="N43" s="7">
        <f>IF(L43="","",L43*0.70+IF(M43="",0,M43)*0.30)</f>
        <v/>
      </c>
      <c r="O43" s="4" t="n"/>
      <c r="P43" s="4" t="n">
        <v>93</v>
      </c>
      <c r="Q43" s="4" t="n">
        <v>100</v>
      </c>
      <c r="R43" s="7">
        <f>IF(P43="","",IF(O43="",0,O43)*0.35+P43*0.35+IF(Q43="",0,Q43)*0.30)</f>
        <v/>
      </c>
      <c r="S43" s="4" t="n"/>
      <c r="T43" s="4" t="n">
        <v>76</v>
      </c>
      <c r="U43" s="4" t="n"/>
      <c r="V43" s="7">
        <f>IF(T43="","",IF(S43="",0,S43)*0.35+T43*0.35+IF(U43="",0,U43)*0.30)</f>
        <v/>
      </c>
      <c r="W43" s="4" t="n"/>
      <c r="X43" s="4" t="n"/>
      <c r="Y43" s="4" t="n"/>
      <c r="Z43" s="7">
        <f>IF(X43="","",IF(W43="",0,W43)*0.35+X43*0.35+IF(Y43="",0,Y43)*0.30)</f>
        <v/>
      </c>
      <c r="AA43" s="4" t="n"/>
      <c r="AB43" s="4" t="n"/>
      <c r="AC43" s="4" t="n"/>
      <c r="AD43" s="7">
        <f>IF(AB43="","",IF(AA43="",0,AA43)*0.35+AB43*0.35+IF(AC43="",0,AC43)*0.30)</f>
        <v/>
      </c>
      <c r="AE43" s="4" t="n"/>
      <c r="AF43" s="4" t="n"/>
      <c r="AG43" s="4" t="n"/>
      <c r="AH43" s="4" t="n"/>
      <c r="AI43" s="4" t="n"/>
      <c r="AJ43" s="4" t="n"/>
      <c r="AK43" s="4" t="n"/>
      <c r="AL43" s="4" t="n"/>
      <c r="AM43" s="7" t="n">
        <v>0</v>
      </c>
      <c r="AN43" s="4" t="n">
        <v>0</v>
      </c>
      <c r="AO43" s="4" t="n">
        <v>0</v>
      </c>
      <c r="AP43" s="4" t="n"/>
      <c r="AQ43" s="4" t="n"/>
      <c r="AR43" s="4" t="n"/>
      <c r="AS43" s="4" t="n"/>
    </row>
    <row r="44">
      <c r="A44" s="7" t="inlineStr">
        <is>
          <t>333136463</t>
        </is>
      </c>
      <c r="B44" s="11" t="inlineStr">
        <is>
          <t>פיצחדזה ניקה</t>
        </is>
      </c>
      <c r="C44" s="7" t="inlineStr">
        <is>
          <t>יא'4</t>
        </is>
      </c>
      <c r="D44" s="4" t="n"/>
      <c r="E44" s="4" t="n"/>
      <c r="F44" s="4" t="n"/>
      <c r="G44" s="4" t="n"/>
      <c r="H44" s="4" t="n"/>
      <c r="I44" s="4" t="n"/>
      <c r="J44" s="4" t="n"/>
      <c r="K44" s="7">
        <f>MAX(IF(AND(D44&lt;&gt;"",E44&lt;&gt;"",F44&lt;&gt;""),D44*0.25+E44*0.35+F44*0.40,0),IF(AND(G44&lt;&gt;"",H44&lt;&gt;""),G44*0.65+H44*0.35,0),IF(AND(I44&lt;&gt;"",J44&lt;&gt;""),I44*0.60+J44*0.40,0))</f>
        <v/>
      </c>
      <c r="L44" s="4" t="n">
        <v>44</v>
      </c>
      <c r="M44" s="4" t="n">
        <v>67</v>
      </c>
      <c r="N44" s="7">
        <f>IF(L44="","",L44*0.70+IF(M44="",0,M44)*0.30)</f>
        <v/>
      </c>
      <c r="O44" s="4" t="n"/>
      <c r="P44" s="4" t="n">
        <v>65</v>
      </c>
      <c r="Q44" s="4" t="n">
        <v>95</v>
      </c>
      <c r="R44" s="7">
        <f>IF(P44="","",IF(O44="",0,O44)*0.35+P44*0.35+IF(Q44="",0,Q44)*0.30)</f>
        <v/>
      </c>
      <c r="S44" s="4" t="n"/>
      <c r="T44" s="4" t="n">
        <v>39</v>
      </c>
      <c r="U44" s="4" t="n"/>
      <c r="V44" s="7">
        <f>IF(T44="","",IF(S44="",0,S44)*0.35+T44*0.35+IF(U44="",0,U44)*0.30)</f>
        <v/>
      </c>
      <c r="W44" s="4" t="n"/>
      <c r="X44" s="4" t="n"/>
      <c r="Y44" s="4" t="n"/>
      <c r="Z44" s="7">
        <f>IF(X44="","",IF(W44="",0,W44)*0.35+X44*0.35+IF(Y44="",0,Y44)*0.30)</f>
        <v/>
      </c>
      <c r="AA44" s="4" t="n"/>
      <c r="AB44" s="4" t="n"/>
      <c r="AC44" s="4" t="n"/>
      <c r="AD44" s="7">
        <f>IF(AB44="","",IF(AA44="",0,AA44)*0.35+AB44*0.35+IF(AC44="",0,AC44)*0.30)</f>
        <v/>
      </c>
      <c r="AE44" s="4" t="n"/>
      <c r="AF44" s="4" t="n"/>
      <c r="AG44" s="4" t="n"/>
      <c r="AH44" s="4" t="n"/>
      <c r="AI44" s="4" t="n"/>
      <c r="AJ44" s="4" t="n"/>
      <c r="AK44" s="4" t="n"/>
      <c r="AL44" s="4" t="n"/>
      <c r="AM44" s="7" t="n">
        <v>0</v>
      </c>
      <c r="AN44" s="4" t="n">
        <v>0</v>
      </c>
      <c r="AO44" s="4" t="n">
        <v>0</v>
      </c>
      <c r="AP44" s="4" t="n"/>
      <c r="AQ44" s="4" t="n"/>
      <c r="AR44" s="4" t="n"/>
      <c r="AS44" s="4" t="n"/>
    </row>
    <row r="45">
      <c r="A45" s="7" t="inlineStr">
        <is>
          <t>339739120</t>
        </is>
      </c>
      <c r="B45" s="11" t="inlineStr">
        <is>
          <t>קורונל טליס מטאו אומר</t>
        </is>
      </c>
      <c r="C45" s="7" t="inlineStr">
        <is>
          <t>יא'4</t>
        </is>
      </c>
      <c r="D45" s="4" t="n">
        <v>91</v>
      </c>
      <c r="E45" s="4" t="n"/>
      <c r="F45" s="4" t="n"/>
      <c r="G45" s="4" t="n"/>
      <c r="H45" s="4" t="n"/>
      <c r="I45" s="4" t="n"/>
      <c r="J45" s="4" t="n"/>
      <c r="K45" s="7">
        <f>MAX(IF(AND(D45&lt;&gt;"",E45&lt;&gt;"",F45&lt;&gt;""),D45*0.25+E45*0.35+F45*0.40,0),IF(AND(G45&lt;&gt;"",H45&lt;&gt;""),G45*0.65+H45*0.35,0),IF(AND(I45&lt;&gt;"",J45&lt;&gt;""),I45*0.60+J45*0.40,0))</f>
        <v/>
      </c>
      <c r="L45" s="4" t="n">
        <v>50</v>
      </c>
      <c r="M45" s="4" t="n">
        <v>51</v>
      </c>
      <c r="N45" s="7">
        <f>IF(L45="","",L45*0.70+IF(M45="",0,M45)*0.30)</f>
        <v/>
      </c>
      <c r="O45" s="4" t="n"/>
      <c r="P45" s="4" t="n">
        <v>70</v>
      </c>
      <c r="Q45" s="4" t="n">
        <v>100</v>
      </c>
      <c r="R45" s="7">
        <f>IF(P45="","",IF(O45="",0,O45)*0.35+P45*0.35+IF(Q45="",0,Q45)*0.30)</f>
        <v/>
      </c>
      <c r="S45" s="4" t="n"/>
      <c r="T45" s="4" t="n">
        <v>32</v>
      </c>
      <c r="U45" s="4" t="n"/>
      <c r="V45" s="7">
        <f>IF(T45="","",IF(S45="",0,S45)*0.35+T45*0.35+IF(U45="",0,U45)*0.30)</f>
        <v/>
      </c>
      <c r="W45" s="4" t="n"/>
      <c r="X45" s="4" t="n"/>
      <c r="Y45" s="4" t="n"/>
      <c r="Z45" s="7">
        <f>IF(X45="","",IF(W45="",0,W45)*0.35+X45*0.35+IF(Y45="",0,Y45)*0.30)</f>
        <v/>
      </c>
      <c r="AA45" s="4" t="n"/>
      <c r="AB45" s="4" t="n"/>
      <c r="AC45" s="4" t="n"/>
      <c r="AD45" s="7">
        <f>IF(AB45="","",IF(AA45="",0,AA45)*0.35+AB45*0.35+IF(AC45="",0,AC45)*0.30)</f>
        <v/>
      </c>
      <c r="AE45" s="4" t="n"/>
      <c r="AF45" s="4" t="n"/>
      <c r="AG45" s="4" t="n"/>
      <c r="AH45" s="4" t="n"/>
      <c r="AI45" s="4" t="n"/>
      <c r="AJ45" s="4" t="n"/>
      <c r="AK45" s="4" t="n"/>
      <c r="AL45" s="4" t="n"/>
      <c r="AM45" s="7" t="n">
        <v>0</v>
      </c>
      <c r="AN45" s="4" t="n">
        <v>0</v>
      </c>
      <c r="AO45" s="4" t="n">
        <v>0</v>
      </c>
      <c r="AP45" s="4" t="n"/>
      <c r="AQ45" s="4" t="n"/>
      <c r="AR45" s="4" t="n"/>
      <c r="AS45" s="4" t="n"/>
    </row>
    <row r="46">
      <c r="A46" s="7" t="inlineStr">
        <is>
          <t>217815885</t>
        </is>
      </c>
      <c r="B46" s="11" t="inlineStr">
        <is>
          <t>רובינוב אנה</t>
        </is>
      </c>
      <c r="C46" s="7" t="inlineStr">
        <is>
          <t>יא'4</t>
        </is>
      </c>
      <c r="D46" s="4" t="n">
        <v>98</v>
      </c>
      <c r="E46" s="4" t="n"/>
      <c r="F46" s="4" t="n"/>
      <c r="G46" s="4" t="n"/>
      <c r="H46" s="4" t="n"/>
      <c r="I46" s="4" t="n"/>
      <c r="J46" s="4" t="n"/>
      <c r="K46" s="7">
        <f>MAX(IF(AND(D46&lt;&gt;"",E46&lt;&gt;"",F46&lt;&gt;""),D46*0.25+E46*0.35+F46*0.40,0),IF(AND(G46&lt;&gt;"",H46&lt;&gt;""),G46*0.65+H46*0.35,0),IF(AND(I46&lt;&gt;"",J46&lt;&gt;""),I46*0.60+J46*0.40,0))</f>
        <v/>
      </c>
      <c r="L46" s="4" t="n"/>
      <c r="M46" s="4" t="n">
        <v>52</v>
      </c>
      <c r="N46" s="7">
        <f>IF(L46="","",L46*0.70+IF(M46="",0,M46)*0.30)</f>
        <v/>
      </c>
      <c r="O46" s="4" t="n"/>
      <c r="P46" s="4" t="n">
        <v>65</v>
      </c>
      <c r="Q46" s="4" t="n">
        <v>100</v>
      </c>
      <c r="R46" s="7">
        <f>IF(P46="","",IF(O46="",0,O46)*0.35+P46*0.35+IF(Q46="",0,Q46)*0.30)</f>
        <v/>
      </c>
      <c r="S46" s="4" t="n"/>
      <c r="T46" s="4" t="n"/>
      <c r="U46" s="4" t="n"/>
      <c r="V46" s="7">
        <f>IF(T46="","",IF(S46="",0,S46)*0.35+T46*0.35+IF(U46="",0,U46)*0.30)</f>
        <v/>
      </c>
      <c r="W46" s="4" t="n"/>
      <c r="X46" s="4" t="n"/>
      <c r="Y46" s="4" t="n"/>
      <c r="Z46" s="7">
        <f>IF(X46="","",IF(W46="",0,W46)*0.35+X46*0.35+IF(Y46="",0,Y46)*0.30)</f>
        <v/>
      </c>
      <c r="AA46" s="4" t="n"/>
      <c r="AB46" s="4" t="n"/>
      <c r="AC46" s="4" t="n"/>
      <c r="AD46" s="7">
        <f>IF(AB46="","",IF(AA46="",0,AA46)*0.35+AB46*0.35+IF(AC46="",0,AC46)*0.30)</f>
        <v/>
      </c>
      <c r="AE46" s="4" t="n"/>
      <c r="AF46" s="4" t="n"/>
      <c r="AG46" s="4" t="n"/>
      <c r="AH46" s="4" t="n"/>
      <c r="AI46" s="4" t="n"/>
      <c r="AJ46" s="4" t="n"/>
      <c r="AK46" s="4" t="n"/>
      <c r="AL46" s="4" t="n"/>
      <c r="AM46" s="7" t="n">
        <v>0</v>
      </c>
      <c r="AN46" s="4" t="n">
        <v>0</v>
      </c>
      <c r="AO46" s="4" t="n">
        <v>0</v>
      </c>
      <c r="AP46" s="4" t="n"/>
      <c r="AQ46" s="4" t="n"/>
      <c r="AR46" s="4" t="n"/>
      <c r="AS46" s="4" t="n"/>
    </row>
    <row r="47">
      <c r="A47" s="7" t="inlineStr">
        <is>
          <t>327790028</t>
        </is>
      </c>
      <c r="B47" s="11" t="inlineStr">
        <is>
          <t>אבו פני אדהם</t>
        </is>
      </c>
      <c r="C47" s="7" t="inlineStr">
        <is>
          <t>יא'5</t>
        </is>
      </c>
      <c r="D47" s="8" t="n"/>
      <c r="E47" s="8" t="n"/>
      <c r="F47" s="8" t="n"/>
      <c r="G47" s="8" t="n"/>
      <c r="H47" s="8" t="n"/>
      <c r="I47" s="8" t="n"/>
      <c r="J47" s="8" t="n"/>
      <c r="K47" s="7">
        <f>MAX(IF(AND(D47&lt;&gt;"",E47&lt;&gt;"",F47&lt;&gt;""),D47*0.25+E47*0.35+F47*0.40,0),IF(AND(G47&lt;&gt;"",H47&lt;&gt;""),G47*0.65+H47*0.35,0),IF(AND(I47&lt;&gt;"",J47&lt;&gt;""),I47*0.60+J47*0.40,0))</f>
        <v/>
      </c>
      <c r="L47" s="8" t="n">
        <v>55</v>
      </c>
      <c r="M47" s="8" t="n">
        <v>80</v>
      </c>
      <c r="N47" s="7">
        <f>IF(L47="","",L47*0.70+IF(M47="",0,M47)*0.30)</f>
        <v/>
      </c>
      <c r="O47" s="8" t="n"/>
      <c r="P47" s="8" t="n">
        <v>100</v>
      </c>
      <c r="Q47" s="8" t="n">
        <v>90</v>
      </c>
      <c r="R47" s="7">
        <f>IF(P47="","",IF(O47="",0,O47)*0.35+P47*0.35+IF(Q47="",0,Q47)*0.30)</f>
        <v/>
      </c>
      <c r="S47" s="8" t="n"/>
      <c r="T47" s="8" t="n">
        <v>62</v>
      </c>
      <c r="U47" s="8" t="n"/>
      <c r="V47" s="7">
        <f>IF(T47="","",IF(S47="",0,S47)*0.35+T47*0.35+IF(U47="",0,U47)*0.30)</f>
        <v/>
      </c>
      <c r="W47" s="8" t="n"/>
      <c r="X47" s="8" t="n"/>
      <c r="Y47" s="8" t="n"/>
      <c r="Z47" s="7">
        <f>IF(X47="","",IF(W47="",0,W47)*0.35+X47*0.35+IF(Y47="",0,Y47)*0.30)</f>
        <v/>
      </c>
      <c r="AA47" s="8" t="n"/>
      <c r="AB47" s="8" t="n"/>
      <c r="AC47" s="8" t="n"/>
      <c r="AD47" s="7">
        <f>IF(AB47="","",IF(AA47="",0,AA47)*0.35+AB47*0.35+IF(AC47="",0,AC47)*0.30)</f>
        <v/>
      </c>
      <c r="AE47" s="8" t="n"/>
      <c r="AF47" s="8" t="n"/>
      <c r="AG47" s="8" t="n"/>
      <c r="AH47" s="8" t="n"/>
      <c r="AI47" s="8" t="n"/>
      <c r="AJ47" s="8" t="n"/>
      <c r="AK47" s="8" t="n"/>
      <c r="AL47" s="8" t="n"/>
      <c r="AM47" s="7" t="n">
        <v>0</v>
      </c>
      <c r="AN47" s="8" t="n">
        <v>0</v>
      </c>
      <c r="AO47" s="8" t="n">
        <v>0</v>
      </c>
      <c r="AP47" s="8" t="n"/>
      <c r="AQ47" s="8" t="n"/>
      <c r="AR47" s="8" t="n"/>
      <c r="AS47" s="8" t="n"/>
    </row>
    <row r="48">
      <c r="A48" s="7" t="inlineStr">
        <is>
          <t>218413235</t>
        </is>
      </c>
      <c r="B48" s="11" t="inlineStr">
        <is>
          <t>אדרי יוסף חיים</t>
        </is>
      </c>
      <c r="C48" s="7" t="inlineStr">
        <is>
          <t>יא'5</t>
        </is>
      </c>
      <c r="D48" s="4" t="n">
        <v>90</v>
      </c>
      <c r="E48" s="4" t="n"/>
      <c r="F48" s="4" t="n"/>
      <c r="G48" s="4" t="n"/>
      <c r="H48" s="4" t="n"/>
      <c r="I48" s="4" t="n"/>
      <c r="J48" s="4" t="n"/>
      <c r="K48" s="7">
        <f>MAX(IF(AND(D48&lt;&gt;"",E48&lt;&gt;"",F48&lt;&gt;""),D48*0.25+E48*0.35+F48*0.40,0),IF(AND(G48&lt;&gt;"",H48&lt;&gt;""),G48*0.65+H48*0.35,0),IF(AND(I48&lt;&gt;"",J48&lt;&gt;""),I48*0.60+J48*0.40,0))</f>
        <v/>
      </c>
      <c r="L48" s="4" t="n"/>
      <c r="M48" s="4" t="n">
        <v>48</v>
      </c>
      <c r="N48" s="7">
        <f>IF(L48="","",L48*0.70+IF(M48="",0,M48)*0.30)</f>
        <v/>
      </c>
      <c r="O48" s="4" t="n"/>
      <c r="P48" s="4" t="n">
        <v>80</v>
      </c>
      <c r="Q48" s="4" t="n">
        <v>100</v>
      </c>
      <c r="R48" s="7">
        <f>IF(P48="","",IF(O48="",0,O48)*0.35+P48*0.35+IF(Q48="",0,Q48)*0.30)</f>
        <v/>
      </c>
      <c r="S48" s="4" t="n"/>
      <c r="T48" s="4" t="n">
        <v>55</v>
      </c>
      <c r="U48" s="4" t="n"/>
      <c r="V48" s="7">
        <f>IF(T48="","",IF(S48="",0,S48)*0.35+T48*0.35+IF(U48="",0,U48)*0.30)</f>
        <v/>
      </c>
      <c r="W48" s="4" t="n"/>
      <c r="X48" s="4" t="n"/>
      <c r="Y48" s="4" t="n"/>
      <c r="Z48" s="7">
        <f>IF(X48="","",IF(W48="",0,W48)*0.35+X48*0.35+IF(Y48="",0,Y48)*0.30)</f>
        <v/>
      </c>
      <c r="AA48" s="4" t="n"/>
      <c r="AB48" s="4" t="n"/>
      <c r="AC48" s="4" t="n"/>
      <c r="AD48" s="7">
        <f>IF(AB48="","",IF(AA48="",0,AA48)*0.35+AB48*0.35+IF(AC48="",0,AC48)*0.30)</f>
        <v/>
      </c>
      <c r="AE48" s="4" t="n"/>
      <c r="AF48" s="4" t="n"/>
      <c r="AG48" s="4" t="n"/>
      <c r="AH48" s="4" t="n"/>
      <c r="AI48" s="4" t="n"/>
      <c r="AJ48" s="4" t="n"/>
      <c r="AK48" s="4" t="n"/>
      <c r="AL48" s="4" t="n"/>
      <c r="AM48" s="7" t="n">
        <v>0</v>
      </c>
      <c r="AN48" s="4" t="n">
        <v>0</v>
      </c>
      <c r="AO48" s="4" t="n">
        <v>0</v>
      </c>
      <c r="AP48" s="4" t="n"/>
      <c r="AQ48" s="4" t="n"/>
      <c r="AR48" s="4" t="n"/>
      <c r="AS48" s="4" t="n"/>
    </row>
    <row r="49">
      <c r="A49" s="7" t="inlineStr">
        <is>
          <t>331828137</t>
        </is>
      </c>
      <c r="B49" s="11" t="inlineStr">
        <is>
          <t>אהרון נהוראי מאיר</t>
        </is>
      </c>
      <c r="C49" s="7" t="inlineStr">
        <is>
          <t>יא'5</t>
        </is>
      </c>
      <c r="D49" s="4" t="n">
        <v>88</v>
      </c>
      <c r="E49" s="4" t="n"/>
      <c r="F49" s="4" t="n"/>
      <c r="G49" s="4" t="n"/>
      <c r="H49" s="4" t="n"/>
      <c r="I49" s="4" t="n"/>
      <c r="J49" s="4" t="n"/>
      <c r="K49" s="7">
        <f>MAX(IF(AND(D49&lt;&gt;"",E49&lt;&gt;"",F49&lt;&gt;""),D49*0.25+E49*0.35+F49*0.40,0),IF(AND(G49&lt;&gt;"",H49&lt;&gt;""),G49*0.65+H49*0.35,0),IF(AND(I49&lt;&gt;"",J49&lt;&gt;""),I49*0.60+J49*0.40,0))</f>
        <v/>
      </c>
      <c r="L49" s="4" t="n"/>
      <c r="M49" s="4" t="n"/>
      <c r="N49" s="7">
        <f>IF(L49="","",L49*0.70+IF(M49="",0,M49)*0.30)</f>
        <v/>
      </c>
      <c r="O49" s="4" t="n"/>
      <c r="P49" s="4" t="n">
        <v>60</v>
      </c>
      <c r="Q49" s="4" t="n">
        <v>90</v>
      </c>
      <c r="R49" s="7">
        <f>IF(P49="","",IF(O49="",0,O49)*0.35+P49*0.35+IF(Q49="",0,Q49)*0.30)</f>
        <v/>
      </c>
      <c r="S49" s="4" t="n"/>
      <c r="T49" s="4" t="n"/>
      <c r="U49" s="4" t="n"/>
      <c r="V49" s="7">
        <f>IF(T49="","",IF(S49="",0,S49)*0.35+T49*0.35+IF(U49="",0,U49)*0.30)</f>
        <v/>
      </c>
      <c r="W49" s="4" t="n"/>
      <c r="X49" s="4" t="n"/>
      <c r="Y49" s="4" t="n"/>
      <c r="Z49" s="7">
        <f>IF(X49="","",IF(W49="",0,W49)*0.35+X49*0.35+IF(Y49="",0,Y49)*0.30)</f>
        <v/>
      </c>
      <c r="AA49" s="4" t="n"/>
      <c r="AB49" s="4" t="n"/>
      <c r="AC49" s="4" t="n"/>
      <c r="AD49" s="7">
        <f>IF(AB49="","",IF(AA49="",0,AA49)*0.35+AB49*0.35+IF(AC49="",0,AC49)*0.30)</f>
        <v/>
      </c>
      <c r="AE49" s="4" t="n"/>
      <c r="AF49" s="4" t="n"/>
      <c r="AG49" s="4" t="n"/>
      <c r="AH49" s="4" t="n"/>
      <c r="AI49" s="4" t="n"/>
      <c r="AJ49" s="4" t="n"/>
      <c r="AK49" s="4" t="n"/>
      <c r="AL49" s="4" t="n"/>
      <c r="AM49" s="7" t="n">
        <v>0</v>
      </c>
      <c r="AN49" s="4" t="n">
        <v>0</v>
      </c>
      <c r="AO49" s="4" t="n">
        <v>0</v>
      </c>
      <c r="AP49" s="4" t="n"/>
      <c r="AQ49" s="4" t="n"/>
      <c r="AR49" s="4" t="n"/>
      <c r="AS49" s="4" t="n"/>
    </row>
    <row r="50">
      <c r="A50" s="7" t="inlineStr">
        <is>
          <t>333022994</t>
        </is>
      </c>
      <c r="B50" s="11" t="inlineStr">
        <is>
          <t>אמברבר מעיין</t>
        </is>
      </c>
      <c r="C50" s="7" t="inlineStr">
        <is>
          <t>יא'5</t>
        </is>
      </c>
      <c r="D50" s="4" t="n">
        <v>100</v>
      </c>
      <c r="E50" s="4" t="n"/>
      <c r="F50" s="4" t="n"/>
      <c r="G50" s="4" t="n"/>
      <c r="H50" s="4" t="n"/>
      <c r="I50" s="4" t="n"/>
      <c r="J50" s="4" t="n"/>
      <c r="K50" s="7">
        <f>MAX(IF(AND(D50&lt;&gt;"",E50&lt;&gt;"",F50&lt;&gt;""),D50*0.25+E50*0.35+F50*0.40,0),IF(AND(G50&lt;&gt;"",H50&lt;&gt;""),G50*0.65+H50*0.35,0),IF(AND(I50&lt;&gt;"",J50&lt;&gt;""),I50*0.60+J50*0.40,0))</f>
        <v/>
      </c>
      <c r="L50" s="4" t="n">
        <v>47</v>
      </c>
      <c r="M50" s="4" t="n">
        <v>77</v>
      </c>
      <c r="N50" s="7">
        <f>IF(L50="","",L50*0.70+IF(M50="",0,M50)*0.30)</f>
        <v/>
      </c>
      <c r="O50" s="4" t="n"/>
      <c r="P50" s="4" t="n">
        <v>70</v>
      </c>
      <c r="Q50" s="4" t="n">
        <v>100</v>
      </c>
      <c r="R50" s="7">
        <f>IF(P50="","",IF(O50="",0,O50)*0.35+P50*0.35+IF(Q50="",0,Q50)*0.30)</f>
        <v/>
      </c>
      <c r="S50" s="4" t="n"/>
      <c r="T50" s="4" t="n">
        <v>20</v>
      </c>
      <c r="U50" s="4" t="n"/>
      <c r="V50" s="7">
        <f>IF(T50="","",IF(S50="",0,S50)*0.35+T50*0.35+IF(U50="",0,U50)*0.30)</f>
        <v/>
      </c>
      <c r="W50" s="4" t="n"/>
      <c r="X50" s="4" t="n"/>
      <c r="Y50" s="4" t="n"/>
      <c r="Z50" s="7">
        <f>IF(X50="","",IF(W50="",0,W50)*0.35+X50*0.35+IF(Y50="",0,Y50)*0.30)</f>
        <v/>
      </c>
      <c r="AA50" s="4" t="n"/>
      <c r="AB50" s="4" t="n"/>
      <c r="AC50" s="4" t="n"/>
      <c r="AD50" s="7">
        <f>IF(AB50="","",IF(AA50="",0,AA50)*0.35+AB50*0.35+IF(AC50="",0,AC50)*0.30)</f>
        <v/>
      </c>
      <c r="AE50" s="4" t="n"/>
      <c r="AF50" s="4" t="n"/>
      <c r="AG50" s="4" t="n"/>
      <c r="AH50" s="4" t="n"/>
      <c r="AI50" s="4" t="n"/>
      <c r="AJ50" s="4" t="n"/>
      <c r="AK50" s="4" t="n"/>
      <c r="AL50" s="4" t="n"/>
      <c r="AM50" s="7" t="n">
        <v>0</v>
      </c>
      <c r="AN50" s="4" t="n">
        <v>0</v>
      </c>
      <c r="AO50" s="4" t="n">
        <v>0</v>
      </c>
      <c r="AP50" s="4" t="n"/>
      <c r="AQ50" s="4" t="n"/>
      <c r="AR50" s="4" t="n"/>
      <c r="AS50" s="4" t="n"/>
    </row>
    <row r="51">
      <c r="A51" s="7" t="inlineStr">
        <is>
          <t>217817220</t>
        </is>
      </c>
      <c r="B51" s="11" t="inlineStr">
        <is>
          <t>ביטאו עילאי</t>
        </is>
      </c>
      <c r="C51" s="7" t="inlineStr">
        <is>
          <t>יא'5</t>
        </is>
      </c>
      <c r="D51" s="4" t="n">
        <v>65</v>
      </c>
      <c r="E51" s="4" t="n"/>
      <c r="F51" s="4" t="n"/>
      <c r="G51" s="4" t="n"/>
      <c r="H51" s="4" t="n"/>
      <c r="I51" s="4" t="n"/>
      <c r="J51" s="4" t="n"/>
      <c r="K51" s="7">
        <f>MAX(IF(AND(D51&lt;&gt;"",E51&lt;&gt;"",F51&lt;&gt;""),D51*0.25+E51*0.35+F51*0.40,0),IF(AND(G51&lt;&gt;"",H51&lt;&gt;""),G51*0.65+H51*0.35,0),IF(AND(I51&lt;&gt;"",J51&lt;&gt;""),I51*0.60+J51*0.40,0))</f>
        <v/>
      </c>
      <c r="L51" s="4" t="n">
        <v>49</v>
      </c>
      <c r="M51" s="4" t="n"/>
      <c r="N51" s="7">
        <f>IF(L51="","",L51*0.70+IF(M51="",0,M51)*0.30)</f>
        <v/>
      </c>
      <c r="O51" s="4" t="n"/>
      <c r="P51" s="4" t="n">
        <v>56</v>
      </c>
      <c r="Q51" s="4" t="n">
        <v>100</v>
      </c>
      <c r="R51" s="7">
        <f>IF(P51="","",IF(O51="",0,O51)*0.35+P51*0.35+IF(Q51="",0,Q51)*0.30)</f>
        <v/>
      </c>
      <c r="S51" s="4" t="n"/>
      <c r="T51" s="4" t="n">
        <v>45</v>
      </c>
      <c r="U51" s="4" t="n"/>
      <c r="V51" s="7">
        <f>IF(T51="","",IF(S51="",0,S51)*0.35+T51*0.35+IF(U51="",0,U51)*0.30)</f>
        <v/>
      </c>
      <c r="W51" s="4" t="n"/>
      <c r="X51" s="4" t="n"/>
      <c r="Y51" s="4" t="n"/>
      <c r="Z51" s="7">
        <f>IF(X51="","",IF(W51="",0,W51)*0.35+X51*0.35+IF(Y51="",0,Y51)*0.30)</f>
        <v/>
      </c>
      <c r="AA51" s="4" t="n"/>
      <c r="AB51" s="4" t="n"/>
      <c r="AC51" s="4" t="n"/>
      <c r="AD51" s="7">
        <f>IF(AB51="","",IF(AA51="",0,AA51)*0.35+AB51*0.35+IF(AC51="",0,AC51)*0.30)</f>
        <v/>
      </c>
      <c r="AE51" s="4" t="n"/>
      <c r="AF51" s="4" t="n"/>
      <c r="AG51" s="4" t="n"/>
      <c r="AH51" s="4" t="n"/>
      <c r="AI51" s="4" t="n"/>
      <c r="AJ51" s="4" t="n"/>
      <c r="AK51" s="4" t="n"/>
      <c r="AL51" s="4" t="n"/>
      <c r="AM51" s="7" t="n">
        <v>0</v>
      </c>
      <c r="AN51" s="4" t="n">
        <v>0</v>
      </c>
      <c r="AO51" s="4" t="n">
        <v>0</v>
      </c>
      <c r="AP51" s="4" t="n"/>
      <c r="AQ51" s="4" t="n"/>
      <c r="AR51" s="4" t="n"/>
      <c r="AS51" s="4" t="n"/>
    </row>
    <row r="52">
      <c r="A52" s="7" t="inlineStr">
        <is>
          <t>217939529</t>
        </is>
      </c>
      <c r="B52" s="11" t="inlineStr">
        <is>
          <t>בן זיקרי ינון</t>
        </is>
      </c>
      <c r="C52" s="7" t="inlineStr">
        <is>
          <t>יא'5</t>
        </is>
      </c>
      <c r="D52" s="4" t="n">
        <v>95</v>
      </c>
      <c r="E52" s="4" t="n"/>
      <c r="F52" s="4" t="n"/>
      <c r="G52" s="4" t="n"/>
      <c r="H52" s="4" t="n"/>
      <c r="I52" s="4" t="n"/>
      <c r="J52" s="4" t="n"/>
      <c r="K52" s="7">
        <f>MAX(IF(AND(D52&lt;&gt;"",E52&lt;&gt;"",F52&lt;&gt;""),D52*0.25+E52*0.35+F52*0.40,0),IF(AND(G52&lt;&gt;"",H52&lt;&gt;""),G52*0.65+H52*0.35,0),IF(AND(I52&lt;&gt;"",J52&lt;&gt;""),I52*0.60+J52*0.40,0))</f>
        <v/>
      </c>
      <c r="L52" s="4" t="n"/>
      <c r="M52" s="4" t="n">
        <v>83</v>
      </c>
      <c r="N52" s="7">
        <f>IF(L52="","",L52*0.70+IF(M52="",0,M52)*0.30)</f>
        <v/>
      </c>
      <c r="O52" s="4" t="n"/>
      <c r="P52" s="4" t="n">
        <v>70</v>
      </c>
      <c r="Q52" s="4" t="n">
        <v>100</v>
      </c>
      <c r="R52" s="7">
        <f>IF(P52="","",IF(O52="",0,O52)*0.35+P52*0.35+IF(Q52="",0,Q52)*0.30)</f>
        <v/>
      </c>
      <c r="S52" s="4" t="n"/>
      <c r="T52" s="4" t="n">
        <v>29</v>
      </c>
      <c r="U52" s="4" t="n"/>
      <c r="V52" s="7">
        <f>IF(T52="","",IF(S52="",0,S52)*0.35+T52*0.35+IF(U52="",0,U52)*0.30)</f>
        <v/>
      </c>
      <c r="W52" s="4" t="n"/>
      <c r="X52" s="4" t="n"/>
      <c r="Y52" s="4" t="n"/>
      <c r="Z52" s="7">
        <f>IF(X52="","",IF(W52="",0,W52)*0.35+X52*0.35+IF(Y52="",0,Y52)*0.30)</f>
        <v/>
      </c>
      <c r="AA52" s="4" t="n"/>
      <c r="AB52" s="4" t="n"/>
      <c r="AC52" s="4" t="n"/>
      <c r="AD52" s="7">
        <f>IF(AB52="","",IF(AA52="",0,AA52)*0.35+AB52*0.35+IF(AC52="",0,AC52)*0.30)</f>
        <v/>
      </c>
      <c r="AE52" s="4" t="n"/>
      <c r="AF52" s="4" t="n"/>
      <c r="AG52" s="4" t="n"/>
      <c r="AH52" s="4" t="n"/>
      <c r="AI52" s="4" t="n"/>
      <c r="AJ52" s="4" t="n"/>
      <c r="AK52" s="4" t="n"/>
      <c r="AL52" s="4" t="n"/>
      <c r="AM52" s="7" t="n">
        <v>0</v>
      </c>
      <c r="AN52" s="4" t="n">
        <v>0</v>
      </c>
      <c r="AO52" s="4" t="n">
        <v>0</v>
      </c>
      <c r="AP52" s="4" t="n"/>
      <c r="AQ52" s="4" t="n"/>
      <c r="AR52" s="4" t="n"/>
      <c r="AS52" s="4" t="n"/>
    </row>
    <row r="53">
      <c r="A53" s="7" t="inlineStr">
        <is>
          <t>333620128</t>
        </is>
      </c>
      <c r="B53" s="11" t="inlineStr">
        <is>
          <t>בן יוסף נועה</t>
        </is>
      </c>
      <c r="C53" s="7" t="inlineStr">
        <is>
          <t>יא'5</t>
        </is>
      </c>
      <c r="D53" s="4" t="n">
        <v>100</v>
      </c>
      <c r="E53" s="4" t="n"/>
      <c r="F53" s="4" t="n"/>
      <c r="G53" s="4" t="n"/>
      <c r="H53" s="4" t="n"/>
      <c r="I53" s="4" t="n"/>
      <c r="J53" s="4" t="n"/>
      <c r="K53" s="7">
        <f>MAX(IF(AND(D53&lt;&gt;"",E53&lt;&gt;"",F53&lt;&gt;""),D53*0.25+E53*0.35+F53*0.40,0),IF(AND(G53&lt;&gt;"",H53&lt;&gt;""),G53*0.65+H53*0.35,0),IF(AND(I53&lt;&gt;"",J53&lt;&gt;""),I53*0.60+J53*0.40,0))</f>
        <v/>
      </c>
      <c r="L53" s="4" t="n">
        <v>22</v>
      </c>
      <c r="M53" s="4" t="n"/>
      <c r="N53" s="7">
        <f>IF(L53="","",L53*0.70+IF(M53="",0,M53)*0.30)</f>
        <v/>
      </c>
      <c r="O53" s="4" t="n"/>
      <c r="P53" s="4" t="n">
        <v>56</v>
      </c>
      <c r="Q53" s="4" t="n">
        <v>100</v>
      </c>
      <c r="R53" s="7">
        <f>IF(P53="","",IF(O53="",0,O53)*0.35+P53*0.35+IF(Q53="",0,Q53)*0.30)</f>
        <v/>
      </c>
      <c r="S53" s="4" t="n"/>
      <c r="T53" s="4" t="n"/>
      <c r="U53" s="4" t="n"/>
      <c r="V53" s="7">
        <f>IF(T53="","",IF(S53="",0,S53)*0.35+T53*0.35+IF(U53="",0,U53)*0.30)</f>
        <v/>
      </c>
      <c r="W53" s="4" t="n"/>
      <c r="X53" s="4" t="n"/>
      <c r="Y53" s="4" t="n"/>
      <c r="Z53" s="7">
        <f>IF(X53="","",IF(W53="",0,W53)*0.35+X53*0.35+IF(Y53="",0,Y53)*0.30)</f>
        <v/>
      </c>
      <c r="AA53" s="4" t="n"/>
      <c r="AB53" s="4" t="n"/>
      <c r="AC53" s="4" t="n"/>
      <c r="AD53" s="7">
        <f>IF(AB53="","",IF(AA53="",0,AA53)*0.35+AB53*0.35+IF(AC53="",0,AC53)*0.30)</f>
        <v/>
      </c>
      <c r="AE53" s="4" t="n"/>
      <c r="AF53" s="4" t="n"/>
      <c r="AG53" s="4" t="n"/>
      <c r="AH53" s="4" t="n"/>
      <c r="AI53" s="4" t="n"/>
      <c r="AJ53" s="4" t="n"/>
      <c r="AK53" s="4" t="n"/>
      <c r="AL53" s="4" t="n"/>
      <c r="AM53" s="7" t="n">
        <v>0</v>
      </c>
      <c r="AN53" s="4" t="n">
        <v>0</v>
      </c>
      <c r="AO53" s="4" t="n">
        <v>0</v>
      </c>
      <c r="AP53" s="4" t="n"/>
      <c r="AQ53" s="4" t="n"/>
      <c r="AR53" s="4" t="n"/>
      <c r="AS53" s="4" t="n"/>
    </row>
    <row r="54">
      <c r="A54" s="7" t="inlineStr">
        <is>
          <t>333295343</t>
        </is>
      </c>
      <c r="B54" s="11" t="inlineStr">
        <is>
          <t>גואיטה אגם</t>
        </is>
      </c>
      <c r="C54" s="7" t="inlineStr">
        <is>
          <t>יא'5</t>
        </is>
      </c>
      <c r="D54" s="4" t="n"/>
      <c r="E54" s="4" t="n"/>
      <c r="F54" s="4" t="n"/>
      <c r="G54" s="4" t="n"/>
      <c r="H54" s="4" t="n"/>
      <c r="I54" s="4" t="n"/>
      <c r="J54" s="4" t="n"/>
      <c r="K54" s="7">
        <f>MAX(IF(AND(D54&lt;&gt;"",E54&lt;&gt;"",F54&lt;&gt;""),D54*0.25+E54*0.35+F54*0.40,0),IF(AND(G54&lt;&gt;"",H54&lt;&gt;""),G54*0.65+H54*0.35,0),IF(AND(I54&lt;&gt;"",J54&lt;&gt;""),I54*0.60+J54*0.40,0))</f>
        <v/>
      </c>
      <c r="L54" s="4" t="n">
        <v>84</v>
      </c>
      <c r="M54" s="4" t="n">
        <v>86</v>
      </c>
      <c r="N54" s="7">
        <f>IF(L54="","",L54*0.70+IF(M54="",0,M54)*0.30)</f>
        <v/>
      </c>
      <c r="O54" s="4" t="n"/>
      <c r="P54" s="4" t="n">
        <v>100</v>
      </c>
      <c r="Q54" s="4" t="n">
        <v>100</v>
      </c>
      <c r="R54" s="7">
        <f>IF(P54="","",IF(O54="",0,O54)*0.35+P54*0.35+IF(Q54="",0,Q54)*0.30)</f>
        <v/>
      </c>
      <c r="S54" s="4" t="n"/>
      <c r="T54" s="4" t="n">
        <v>72</v>
      </c>
      <c r="U54" s="4" t="n"/>
      <c r="V54" s="7">
        <f>IF(T54="","",IF(S54="",0,S54)*0.35+T54*0.35+IF(U54="",0,U54)*0.30)</f>
        <v/>
      </c>
      <c r="W54" s="4" t="n"/>
      <c r="X54" s="4" t="n"/>
      <c r="Y54" s="4" t="n"/>
      <c r="Z54" s="7">
        <f>IF(X54="","",IF(W54="",0,W54)*0.35+X54*0.35+IF(Y54="",0,Y54)*0.30)</f>
        <v/>
      </c>
      <c r="AA54" s="4" t="n"/>
      <c r="AB54" s="4" t="n"/>
      <c r="AC54" s="4" t="n"/>
      <c r="AD54" s="7">
        <f>IF(AB54="","",IF(AA54="",0,AA54)*0.35+AB54*0.35+IF(AC54="",0,AC54)*0.30)</f>
        <v/>
      </c>
      <c r="AE54" s="4" t="n"/>
      <c r="AF54" s="4" t="n"/>
      <c r="AG54" s="4" t="n"/>
      <c r="AH54" s="4" t="n"/>
      <c r="AI54" s="4" t="n"/>
      <c r="AJ54" s="4" t="n"/>
      <c r="AK54" s="4" t="n"/>
      <c r="AL54" s="4" t="n"/>
      <c r="AM54" s="7" t="n">
        <v>0</v>
      </c>
      <c r="AN54" s="4" t="n">
        <v>0</v>
      </c>
      <c r="AO54" s="4" t="n">
        <v>0</v>
      </c>
      <c r="AP54" s="4" t="n"/>
      <c r="AQ54" s="4" t="n"/>
      <c r="AR54" s="4" t="n"/>
      <c r="AS54" s="4" t="n"/>
    </row>
    <row r="55">
      <c r="A55" s="7" t="inlineStr">
        <is>
          <t>218778124</t>
        </is>
      </c>
      <c r="B55" s="11" t="inlineStr">
        <is>
          <t>הופס מי-דן דאר</t>
        </is>
      </c>
      <c r="C55" s="7" t="inlineStr">
        <is>
          <t>יא'5</t>
        </is>
      </c>
      <c r="D55" s="4" t="n">
        <v>100</v>
      </c>
      <c r="E55" s="4" t="n"/>
      <c r="F55" s="4" t="n"/>
      <c r="G55" s="4" t="n"/>
      <c r="H55" s="4" t="n"/>
      <c r="I55" s="4" t="n"/>
      <c r="J55" s="4" t="n"/>
      <c r="K55" s="7">
        <f>MAX(IF(AND(D55&lt;&gt;"",E55&lt;&gt;"",F55&lt;&gt;""),D55*0.25+E55*0.35+F55*0.40,0),IF(AND(G55&lt;&gt;"",H55&lt;&gt;""),G55*0.65+H55*0.35,0),IF(AND(I55&lt;&gt;"",J55&lt;&gt;""),I55*0.60+J55*0.40,0))</f>
        <v/>
      </c>
      <c r="L55" s="4" t="n">
        <v>43</v>
      </c>
      <c r="M55" s="4" t="n"/>
      <c r="N55" s="7">
        <f>IF(L55="","",L55*0.70+IF(M55="",0,M55)*0.30)</f>
        <v/>
      </c>
      <c r="O55" s="4" t="n"/>
      <c r="P55" s="4" t="n">
        <v>60</v>
      </c>
      <c r="Q55" s="4" t="n">
        <v>95</v>
      </c>
      <c r="R55" s="7">
        <f>IF(P55="","",IF(O55="",0,O55)*0.35+P55*0.35+IF(Q55="",0,Q55)*0.30)</f>
        <v/>
      </c>
      <c r="S55" s="4" t="n"/>
      <c r="T55" s="4" t="n">
        <v>47</v>
      </c>
      <c r="U55" s="4" t="n"/>
      <c r="V55" s="7">
        <f>IF(T55="","",IF(S55="",0,S55)*0.35+T55*0.35+IF(U55="",0,U55)*0.30)</f>
        <v/>
      </c>
      <c r="W55" s="4" t="n"/>
      <c r="X55" s="4" t="n"/>
      <c r="Y55" s="4" t="n"/>
      <c r="Z55" s="7">
        <f>IF(X55="","",IF(W55="",0,W55)*0.35+X55*0.35+IF(Y55="",0,Y55)*0.30)</f>
        <v/>
      </c>
      <c r="AA55" s="4" t="n"/>
      <c r="AB55" s="4" t="n"/>
      <c r="AC55" s="4" t="n"/>
      <c r="AD55" s="7">
        <f>IF(AB55="","",IF(AA55="",0,AA55)*0.35+AB55*0.35+IF(AC55="",0,AC55)*0.30)</f>
        <v/>
      </c>
      <c r="AE55" s="4" t="n"/>
      <c r="AF55" s="4" t="n"/>
      <c r="AG55" s="4" t="n"/>
      <c r="AH55" s="4" t="n"/>
      <c r="AI55" s="4" t="n"/>
      <c r="AJ55" s="4" t="n"/>
      <c r="AK55" s="4" t="n"/>
      <c r="AL55" s="4" t="n"/>
      <c r="AM55" s="7" t="n">
        <v>0</v>
      </c>
      <c r="AN55" s="4" t="n">
        <v>0</v>
      </c>
      <c r="AO55" s="4" t="n">
        <v>0</v>
      </c>
      <c r="AP55" s="4" t="n"/>
      <c r="AQ55" s="4" t="n"/>
      <c r="AR55" s="4" t="n"/>
      <c r="AS55" s="4" t="n"/>
    </row>
    <row r="56">
      <c r="A56" s="7" t="inlineStr">
        <is>
          <t>333171304</t>
        </is>
      </c>
      <c r="B56" s="11" t="inlineStr">
        <is>
          <t>טל-אור ליה</t>
        </is>
      </c>
      <c r="C56" s="7" t="inlineStr">
        <is>
          <t>יא'5</t>
        </is>
      </c>
      <c r="D56" s="4" t="n">
        <v>100</v>
      </c>
      <c r="E56" s="4" t="n"/>
      <c r="F56" s="4" t="n"/>
      <c r="G56" s="4" t="n"/>
      <c r="H56" s="4" t="n"/>
      <c r="I56" s="4" t="n"/>
      <c r="J56" s="4" t="n"/>
      <c r="K56" s="7">
        <f>MAX(IF(AND(D56&lt;&gt;"",E56&lt;&gt;"",F56&lt;&gt;""),D56*0.25+E56*0.35+F56*0.40,0),IF(AND(G56&lt;&gt;"",H56&lt;&gt;""),G56*0.65+H56*0.35,0),IF(AND(I56&lt;&gt;"",J56&lt;&gt;""),I56*0.60+J56*0.40,0))</f>
        <v/>
      </c>
      <c r="L56" s="4" t="n">
        <v>60</v>
      </c>
      <c r="M56" s="4" t="n">
        <v>82</v>
      </c>
      <c r="N56" s="7">
        <f>IF(L56="","",L56*0.70+IF(M56="",0,M56)*0.30)</f>
        <v/>
      </c>
      <c r="O56" s="4" t="n"/>
      <c r="P56" s="4" t="n">
        <v>87</v>
      </c>
      <c r="Q56" s="4" t="n">
        <v>100</v>
      </c>
      <c r="R56" s="7">
        <f>IF(P56="","",IF(O56="",0,O56)*0.35+P56*0.35+IF(Q56="",0,Q56)*0.30)</f>
        <v/>
      </c>
      <c r="S56" s="4" t="n"/>
      <c r="T56" s="4" t="n">
        <v>45</v>
      </c>
      <c r="U56" s="4" t="n"/>
      <c r="V56" s="7">
        <f>IF(T56="","",IF(S56="",0,S56)*0.35+T56*0.35+IF(U56="",0,U56)*0.30)</f>
        <v/>
      </c>
      <c r="W56" s="4" t="n"/>
      <c r="X56" s="4" t="n"/>
      <c r="Y56" s="4" t="n"/>
      <c r="Z56" s="7">
        <f>IF(X56="","",IF(W56="",0,W56)*0.35+X56*0.35+IF(Y56="",0,Y56)*0.30)</f>
        <v/>
      </c>
      <c r="AA56" s="4" t="n"/>
      <c r="AB56" s="4" t="n"/>
      <c r="AC56" s="4" t="n"/>
      <c r="AD56" s="7">
        <f>IF(AB56="","",IF(AA56="",0,AA56)*0.35+AB56*0.35+IF(AC56="",0,AC56)*0.30)</f>
        <v/>
      </c>
      <c r="AE56" s="4" t="n"/>
      <c r="AF56" s="4" t="n"/>
      <c r="AG56" s="4" t="n"/>
      <c r="AH56" s="4" t="n"/>
      <c r="AI56" s="4" t="n"/>
      <c r="AJ56" s="4" t="n"/>
      <c r="AK56" s="4" t="n"/>
      <c r="AL56" s="4" t="n"/>
      <c r="AM56" s="7" t="n">
        <v>0</v>
      </c>
      <c r="AN56" s="4" t="n">
        <v>0</v>
      </c>
      <c r="AO56" s="4" t="n">
        <v>0</v>
      </c>
      <c r="AP56" s="4" t="n"/>
      <c r="AQ56" s="4" t="n"/>
      <c r="AR56" s="4" t="n"/>
      <c r="AS56" s="4" t="n"/>
    </row>
    <row r="57">
      <c r="A57" s="7" t="inlineStr">
        <is>
          <t>333760544</t>
        </is>
      </c>
      <c r="B57" s="11" t="inlineStr">
        <is>
          <t>כהן אפק</t>
        </is>
      </c>
      <c r="C57" s="7" t="inlineStr">
        <is>
          <t>יא'5</t>
        </is>
      </c>
      <c r="D57" s="4" t="n">
        <v>100</v>
      </c>
      <c r="E57" s="4" t="n"/>
      <c r="F57" s="4" t="n"/>
      <c r="G57" s="4" t="n"/>
      <c r="H57" s="4" t="n"/>
      <c r="I57" s="4" t="n"/>
      <c r="J57" s="4" t="n"/>
      <c r="K57" s="7">
        <f>MAX(IF(AND(D57&lt;&gt;"",E57&lt;&gt;"",F57&lt;&gt;""),D57*0.25+E57*0.35+F57*0.40,0),IF(AND(G57&lt;&gt;"",H57&lt;&gt;""),G57*0.65+H57*0.35,0),IF(AND(I57&lt;&gt;"",J57&lt;&gt;""),I57*0.60+J57*0.40,0))</f>
        <v/>
      </c>
      <c r="L57" s="4" t="n">
        <v>36</v>
      </c>
      <c r="M57" s="4" t="n">
        <v>66</v>
      </c>
      <c r="N57" s="7">
        <f>IF(L57="","",L57*0.70+IF(M57="",0,M57)*0.30)</f>
        <v/>
      </c>
      <c r="O57" s="4" t="n"/>
      <c r="P57" s="4" t="n">
        <v>80</v>
      </c>
      <c r="Q57" s="4" t="n">
        <v>100</v>
      </c>
      <c r="R57" s="7">
        <f>IF(P57="","",IF(O57="",0,O57)*0.35+P57*0.35+IF(Q57="",0,Q57)*0.30)</f>
        <v/>
      </c>
      <c r="S57" s="4" t="n"/>
      <c r="T57" s="4" t="n">
        <v>26</v>
      </c>
      <c r="U57" s="4" t="n"/>
      <c r="V57" s="7">
        <f>IF(T57="","",IF(S57="",0,S57)*0.35+T57*0.35+IF(U57="",0,U57)*0.30)</f>
        <v/>
      </c>
      <c r="W57" s="4" t="n"/>
      <c r="X57" s="4" t="n"/>
      <c r="Y57" s="4" t="n"/>
      <c r="Z57" s="7">
        <f>IF(X57="","",IF(W57="",0,W57)*0.35+X57*0.35+IF(Y57="",0,Y57)*0.30)</f>
        <v/>
      </c>
      <c r="AA57" s="4" t="n"/>
      <c r="AB57" s="4" t="n"/>
      <c r="AC57" s="4" t="n"/>
      <c r="AD57" s="7">
        <f>IF(AB57="","",IF(AA57="",0,AA57)*0.35+AB57*0.35+IF(AC57="",0,AC57)*0.30)</f>
        <v/>
      </c>
      <c r="AE57" s="4" t="n"/>
      <c r="AF57" s="4" t="n"/>
      <c r="AG57" s="4" t="n"/>
      <c r="AH57" s="4" t="n"/>
      <c r="AI57" s="4" t="n"/>
      <c r="AJ57" s="4" t="n"/>
      <c r="AK57" s="4" t="n"/>
      <c r="AL57" s="4" t="n"/>
      <c r="AM57" s="7" t="n">
        <v>0</v>
      </c>
      <c r="AN57" s="4" t="n">
        <v>0</v>
      </c>
      <c r="AO57" s="4" t="n">
        <v>0</v>
      </c>
      <c r="AP57" s="4" t="n"/>
      <c r="AQ57" s="4" t="n"/>
      <c r="AR57" s="4" t="n"/>
      <c r="AS57" s="4" t="n"/>
    </row>
    <row r="58">
      <c r="A58" s="7" t="inlineStr">
        <is>
          <t>312399801</t>
        </is>
      </c>
      <c r="B58" s="11" t="inlineStr">
        <is>
          <t>כהן נופר</t>
        </is>
      </c>
      <c r="C58" s="7" t="inlineStr">
        <is>
          <t>יא'5</t>
        </is>
      </c>
      <c r="D58" s="4" t="n">
        <v>89</v>
      </c>
      <c r="E58" s="4" t="n"/>
      <c r="F58" s="4" t="n"/>
      <c r="G58" s="4" t="n"/>
      <c r="H58" s="4" t="n"/>
      <c r="I58" s="4" t="n"/>
      <c r="J58" s="4" t="n"/>
      <c r="K58" s="7">
        <f>MAX(IF(AND(D58&lt;&gt;"",E58&lt;&gt;"",F58&lt;&gt;""),D58*0.25+E58*0.35+F58*0.40,0),IF(AND(G58&lt;&gt;"",H58&lt;&gt;""),G58*0.65+H58*0.35,0),IF(AND(I58&lt;&gt;"",J58&lt;&gt;""),I58*0.60+J58*0.40,0))</f>
        <v/>
      </c>
      <c r="L58" s="4" t="n">
        <v>63</v>
      </c>
      <c r="M58" s="4" t="n">
        <v>66</v>
      </c>
      <c r="N58" s="7">
        <f>IF(L58="","",L58*0.70+IF(M58="",0,M58)*0.30)</f>
        <v/>
      </c>
      <c r="O58" s="4" t="n"/>
      <c r="P58" s="4" t="n">
        <v>77</v>
      </c>
      <c r="Q58" s="4" t="n">
        <v>100</v>
      </c>
      <c r="R58" s="7">
        <f>IF(P58="","",IF(O58="",0,O58)*0.35+P58*0.35+IF(Q58="",0,Q58)*0.30)</f>
        <v/>
      </c>
      <c r="S58" s="4" t="n"/>
      <c r="T58" s="4" t="n">
        <v>43</v>
      </c>
      <c r="U58" s="4" t="n"/>
      <c r="V58" s="7">
        <f>IF(T58="","",IF(S58="",0,S58)*0.35+T58*0.35+IF(U58="",0,U58)*0.30)</f>
        <v/>
      </c>
      <c r="W58" s="4" t="n"/>
      <c r="X58" s="4" t="n"/>
      <c r="Y58" s="4" t="n"/>
      <c r="Z58" s="7">
        <f>IF(X58="","",IF(W58="",0,W58)*0.35+X58*0.35+IF(Y58="",0,Y58)*0.30)</f>
        <v/>
      </c>
      <c r="AA58" s="4" t="n"/>
      <c r="AB58" s="4" t="n"/>
      <c r="AC58" s="4" t="n"/>
      <c r="AD58" s="7">
        <f>IF(AB58="","",IF(AA58="",0,AA58)*0.35+AB58*0.35+IF(AC58="",0,AC58)*0.30)</f>
        <v/>
      </c>
      <c r="AE58" s="4" t="n"/>
      <c r="AF58" s="4" t="n"/>
      <c r="AG58" s="4" t="n"/>
      <c r="AH58" s="4" t="n"/>
      <c r="AI58" s="4" t="n"/>
      <c r="AJ58" s="4" t="n"/>
      <c r="AK58" s="4" t="n"/>
      <c r="AL58" s="4" t="n"/>
      <c r="AM58" s="7" t="n">
        <v>0</v>
      </c>
      <c r="AN58" s="4" t="n">
        <v>0</v>
      </c>
      <c r="AO58" s="4" t="n">
        <v>0</v>
      </c>
      <c r="AP58" s="4" t="n"/>
      <c r="AQ58" s="4" t="n"/>
      <c r="AR58" s="4" t="n"/>
      <c r="AS58" s="4" t="n"/>
    </row>
    <row r="59">
      <c r="A59" s="7" t="inlineStr">
        <is>
          <t>332540202</t>
        </is>
      </c>
      <c r="B59" s="11" t="inlineStr">
        <is>
          <t>לרדו אגתה</t>
        </is>
      </c>
      <c r="C59" s="7" t="inlineStr">
        <is>
          <t>יא'5</t>
        </is>
      </c>
      <c r="D59" s="4" t="n">
        <v>85</v>
      </c>
      <c r="E59" s="4" t="n"/>
      <c r="F59" s="4" t="n"/>
      <c r="G59" s="4" t="n"/>
      <c r="H59" s="4" t="n"/>
      <c r="I59" s="4" t="n"/>
      <c r="J59" s="4" t="n"/>
      <c r="K59" s="7">
        <f>MAX(IF(AND(D59&lt;&gt;"",E59&lt;&gt;"",F59&lt;&gt;""),D59*0.25+E59*0.35+F59*0.40,0),IF(AND(G59&lt;&gt;"",H59&lt;&gt;""),G59*0.65+H59*0.35,0),IF(AND(I59&lt;&gt;"",J59&lt;&gt;""),I59*0.60+J59*0.40,0))</f>
        <v/>
      </c>
      <c r="L59" s="4" t="n">
        <v>48</v>
      </c>
      <c r="M59" s="4" t="n"/>
      <c r="N59" s="7">
        <f>IF(L59="","",L59*0.70+IF(M59="",0,M59)*0.30)</f>
        <v/>
      </c>
      <c r="O59" s="4" t="n"/>
      <c r="P59" s="4" t="n"/>
      <c r="Q59" s="4" t="n"/>
      <c r="R59" s="7">
        <f>IF(P59="","",IF(O59="",0,O59)*0.35+P59*0.35+IF(Q59="",0,Q59)*0.30)</f>
        <v/>
      </c>
      <c r="S59" s="4" t="n"/>
      <c r="T59" s="4" t="n">
        <v>65</v>
      </c>
      <c r="U59" s="4" t="n"/>
      <c r="V59" s="7">
        <f>IF(T59="","",IF(S59="",0,S59)*0.35+T59*0.35+IF(U59="",0,U59)*0.30)</f>
        <v/>
      </c>
      <c r="W59" s="4" t="n"/>
      <c r="X59" s="4" t="n"/>
      <c r="Y59" s="4" t="n"/>
      <c r="Z59" s="7">
        <f>IF(X59="","",IF(W59="",0,W59)*0.35+X59*0.35+IF(Y59="",0,Y59)*0.30)</f>
        <v/>
      </c>
      <c r="AA59" s="4" t="n"/>
      <c r="AB59" s="4" t="n"/>
      <c r="AC59" s="4" t="n"/>
      <c r="AD59" s="7">
        <f>IF(AB59="","",IF(AA59="",0,AA59)*0.35+AB59*0.35+IF(AC59="",0,AC59)*0.30)</f>
        <v/>
      </c>
      <c r="AE59" s="4" t="n"/>
      <c r="AF59" s="4" t="n"/>
      <c r="AG59" s="4" t="n"/>
      <c r="AH59" s="4" t="n"/>
      <c r="AI59" s="4" t="n"/>
      <c r="AJ59" s="4" t="n"/>
      <c r="AK59" s="4" t="n"/>
      <c r="AL59" s="4" t="n"/>
      <c r="AM59" s="7" t="n">
        <v>0</v>
      </c>
      <c r="AN59" s="4" t="n">
        <v>0</v>
      </c>
      <c r="AO59" s="4" t="n">
        <v>0</v>
      </c>
      <c r="AP59" s="4" t="n"/>
      <c r="AQ59" s="4" t="n"/>
      <c r="AR59" s="4" t="n"/>
      <c r="AS59" s="4" t="n"/>
    </row>
    <row r="60">
      <c r="A60" s="7" t="inlineStr">
        <is>
          <t>333169514</t>
        </is>
      </c>
      <c r="B60" s="11" t="inlineStr">
        <is>
          <t>מלכה רפאל שלום</t>
        </is>
      </c>
      <c r="C60" s="7" t="inlineStr">
        <is>
          <t>יא'5</t>
        </is>
      </c>
      <c r="D60" s="4" t="n">
        <v>92</v>
      </c>
      <c r="E60" s="4" t="n"/>
      <c r="F60" s="4" t="n"/>
      <c r="G60" s="4" t="n"/>
      <c r="H60" s="4" t="n"/>
      <c r="I60" s="4" t="n"/>
      <c r="J60" s="4" t="n"/>
      <c r="K60" s="7">
        <f>MAX(IF(AND(D60&lt;&gt;"",E60&lt;&gt;"",F60&lt;&gt;""),D60*0.25+E60*0.35+F60*0.40,0),IF(AND(G60&lt;&gt;"",H60&lt;&gt;""),G60*0.65+H60*0.35,0),IF(AND(I60&lt;&gt;"",J60&lt;&gt;""),I60*0.60+J60*0.40,0))</f>
        <v/>
      </c>
      <c r="L60" s="4" t="n">
        <v>33</v>
      </c>
      <c r="M60" s="4" t="n">
        <v>46</v>
      </c>
      <c r="N60" s="7">
        <f>IF(L60="","",L60*0.70+IF(M60="",0,M60)*0.30)</f>
        <v/>
      </c>
      <c r="O60" s="4" t="n"/>
      <c r="P60" s="4" t="n">
        <v>56</v>
      </c>
      <c r="Q60" s="4" t="n">
        <v>100</v>
      </c>
      <c r="R60" s="7">
        <f>IF(P60="","",IF(O60="",0,O60)*0.35+P60*0.35+IF(Q60="",0,Q60)*0.30)</f>
        <v/>
      </c>
      <c r="S60" s="4" t="n"/>
      <c r="T60" s="4" t="n">
        <v>22</v>
      </c>
      <c r="U60" s="4" t="n"/>
      <c r="V60" s="7">
        <f>IF(T60="","",IF(S60="",0,S60)*0.35+T60*0.35+IF(U60="",0,U60)*0.30)</f>
        <v/>
      </c>
      <c r="W60" s="4" t="n"/>
      <c r="X60" s="4" t="n"/>
      <c r="Y60" s="4" t="n"/>
      <c r="Z60" s="7">
        <f>IF(X60="","",IF(W60="",0,W60)*0.35+X60*0.35+IF(Y60="",0,Y60)*0.30)</f>
        <v/>
      </c>
      <c r="AA60" s="4" t="n"/>
      <c r="AB60" s="4" t="n"/>
      <c r="AC60" s="4" t="n"/>
      <c r="AD60" s="7">
        <f>IF(AB60="","",IF(AA60="",0,AA60)*0.35+AB60*0.35+IF(AC60="",0,AC60)*0.30)</f>
        <v/>
      </c>
      <c r="AE60" s="4" t="n"/>
      <c r="AF60" s="4" t="n"/>
      <c r="AG60" s="4" t="n"/>
      <c r="AH60" s="4" t="n"/>
      <c r="AI60" s="4" t="n"/>
      <c r="AJ60" s="4" t="n"/>
      <c r="AK60" s="4" t="n"/>
      <c r="AL60" s="4" t="n"/>
      <c r="AM60" s="7" t="n">
        <v>0</v>
      </c>
      <c r="AN60" s="4" t="n">
        <v>0</v>
      </c>
      <c r="AO60" s="4" t="n">
        <v>0</v>
      </c>
      <c r="AP60" s="4" t="n"/>
      <c r="AQ60" s="4" t="n"/>
      <c r="AR60" s="4" t="n"/>
      <c r="AS60" s="4" t="n"/>
    </row>
    <row r="61">
      <c r="A61" s="7" t="inlineStr">
        <is>
          <t>332893213</t>
        </is>
      </c>
      <c r="B61" s="11" t="inlineStr">
        <is>
          <t>מעטי אוריה</t>
        </is>
      </c>
      <c r="C61" s="7" t="inlineStr">
        <is>
          <t>יא'5</t>
        </is>
      </c>
      <c r="D61" s="8" t="n">
        <v>89</v>
      </c>
      <c r="E61" s="8" t="n"/>
      <c r="F61" s="8" t="n"/>
      <c r="G61" s="8" t="n"/>
      <c r="H61" s="8" t="n"/>
      <c r="I61" s="8" t="n"/>
      <c r="J61" s="8" t="n"/>
      <c r="K61" s="7">
        <f>MAX(IF(AND(D61&lt;&gt;"",E61&lt;&gt;"",F61&lt;&gt;""),D61*0.25+E61*0.35+F61*0.40,0),IF(AND(G61&lt;&gt;"",H61&lt;&gt;""),G61*0.65+H61*0.35,0),IF(AND(I61&lt;&gt;"",J61&lt;&gt;""),I61*0.60+J61*0.40,0))</f>
        <v/>
      </c>
      <c r="L61" s="8" t="n"/>
      <c r="M61" s="8" t="n"/>
      <c r="N61" s="7">
        <f>IF(L61="","",L61*0.70+IF(M61="",0,M61)*0.30)</f>
        <v/>
      </c>
      <c r="O61" s="8" t="n"/>
      <c r="P61" s="8" t="n">
        <v>56</v>
      </c>
      <c r="Q61" s="8" t="n">
        <v>95</v>
      </c>
      <c r="R61" s="7">
        <f>IF(P61="","",IF(O61="",0,O61)*0.35+P61*0.35+IF(Q61="",0,Q61)*0.30)</f>
        <v/>
      </c>
      <c r="S61" s="8" t="n"/>
      <c r="T61" s="8" t="n">
        <v>14</v>
      </c>
      <c r="U61" s="8" t="n"/>
      <c r="V61" s="7">
        <f>IF(T61="","",IF(S61="",0,S61)*0.35+T61*0.35+IF(U61="",0,U61)*0.30)</f>
        <v/>
      </c>
      <c r="W61" s="8" t="n"/>
      <c r="X61" s="8" t="n"/>
      <c r="Y61" s="8" t="n"/>
      <c r="Z61" s="7">
        <f>IF(X61="","",IF(W61="",0,W61)*0.35+X61*0.35+IF(Y61="",0,Y61)*0.30)</f>
        <v/>
      </c>
      <c r="AA61" s="8" t="n"/>
      <c r="AB61" s="8" t="n"/>
      <c r="AC61" s="8" t="n"/>
      <c r="AD61" s="7">
        <f>IF(AB61="","",IF(AA61="",0,AA61)*0.35+AB61*0.35+IF(AC61="",0,AC61)*0.30)</f>
        <v/>
      </c>
      <c r="AE61" s="8" t="n"/>
      <c r="AF61" s="8" t="n"/>
      <c r="AG61" s="8" t="n"/>
      <c r="AH61" s="8" t="n"/>
      <c r="AI61" s="8" t="n"/>
      <c r="AJ61" s="8" t="n"/>
      <c r="AK61" s="8" t="n"/>
      <c r="AL61" s="8" t="n"/>
      <c r="AM61" s="7" t="n">
        <v>0</v>
      </c>
      <c r="AN61" s="8" t="n">
        <v>0</v>
      </c>
      <c r="AO61" s="8" t="n">
        <v>0</v>
      </c>
      <c r="AP61" s="8" t="n"/>
      <c r="AQ61" s="8" t="n"/>
      <c r="AR61" s="8" t="n"/>
      <c r="AS61" s="8" t="n"/>
    </row>
    <row r="62">
      <c r="A62" s="7" t="inlineStr">
        <is>
          <t>333139574</t>
        </is>
      </c>
      <c r="B62" s="11" t="inlineStr">
        <is>
          <t>סבג רומי אור</t>
        </is>
      </c>
      <c r="C62" s="7" t="inlineStr">
        <is>
          <t>יא'5</t>
        </is>
      </c>
      <c r="D62" s="4" t="n">
        <v>100</v>
      </c>
      <c r="E62" s="4" t="n"/>
      <c r="F62" s="4" t="n"/>
      <c r="G62" s="4" t="n"/>
      <c r="H62" s="4" t="n"/>
      <c r="I62" s="4" t="n"/>
      <c r="J62" s="4" t="n"/>
      <c r="K62" s="7">
        <f>MAX(IF(AND(D62&lt;&gt;"",E62&lt;&gt;"",F62&lt;&gt;""),D62*0.25+E62*0.35+F62*0.40,0),IF(AND(G62&lt;&gt;"",H62&lt;&gt;""),G62*0.65+H62*0.35,0),IF(AND(I62&lt;&gt;"",J62&lt;&gt;""),I62*0.60+J62*0.40,0))</f>
        <v/>
      </c>
      <c r="L62" s="4" t="n">
        <v>59</v>
      </c>
      <c r="M62" s="4" t="n">
        <v>74</v>
      </c>
      <c r="N62" s="7">
        <f>IF(L62="","",L62*0.70+IF(M62="",0,M62)*0.30)</f>
        <v/>
      </c>
      <c r="O62" s="4" t="n"/>
      <c r="P62" s="4" t="n">
        <v>82</v>
      </c>
      <c r="Q62" s="4" t="n">
        <v>95</v>
      </c>
      <c r="R62" s="7">
        <f>IF(P62="","",IF(O62="",0,O62)*0.35+P62*0.35+IF(Q62="",0,Q62)*0.30)</f>
        <v/>
      </c>
      <c r="S62" s="4" t="n"/>
      <c r="T62" s="4" t="n">
        <v>46</v>
      </c>
      <c r="U62" s="4" t="n"/>
      <c r="V62" s="7">
        <f>IF(T62="","",IF(S62="",0,S62)*0.35+T62*0.35+IF(U62="",0,U62)*0.30)</f>
        <v/>
      </c>
      <c r="W62" s="4" t="n"/>
      <c r="X62" s="4" t="n"/>
      <c r="Y62" s="4" t="n"/>
      <c r="Z62" s="7">
        <f>IF(X62="","",IF(W62="",0,W62)*0.35+X62*0.35+IF(Y62="",0,Y62)*0.30)</f>
        <v/>
      </c>
      <c r="AA62" s="4" t="n"/>
      <c r="AB62" s="4" t="n"/>
      <c r="AC62" s="4" t="n"/>
      <c r="AD62" s="7">
        <f>IF(AB62="","",IF(AA62="",0,AA62)*0.35+AB62*0.35+IF(AC62="",0,AC62)*0.30)</f>
        <v/>
      </c>
      <c r="AE62" s="4" t="n"/>
      <c r="AF62" s="4" t="n"/>
      <c r="AG62" s="4" t="n"/>
      <c r="AH62" s="4" t="n"/>
      <c r="AI62" s="4" t="n"/>
      <c r="AJ62" s="4" t="n"/>
      <c r="AK62" s="4" t="n"/>
      <c r="AL62" s="4" t="n"/>
      <c r="AM62" s="7" t="n">
        <v>0</v>
      </c>
      <c r="AN62" s="4" t="n">
        <v>0</v>
      </c>
      <c r="AO62" s="4" t="n">
        <v>0</v>
      </c>
      <c r="AP62" s="4" t="n"/>
      <c r="AQ62" s="4" t="n"/>
      <c r="AR62" s="4" t="n"/>
      <c r="AS62" s="4" t="n"/>
    </row>
    <row r="63">
      <c r="A63" s="7" t="inlineStr"/>
      <c r="B63" s="11" t="inlineStr">
        <is>
          <t>סויסה אלין</t>
        </is>
      </c>
      <c r="C63" s="7" t="inlineStr">
        <is>
          <t>יא'5</t>
        </is>
      </c>
      <c r="D63" s="4" t="n"/>
      <c r="E63" s="4" t="n"/>
      <c r="F63" s="4" t="n"/>
      <c r="G63" s="4" t="n"/>
      <c r="H63" s="4" t="n"/>
      <c r="I63" s="4" t="n"/>
      <c r="J63" s="4" t="n"/>
      <c r="K63" s="7">
        <f>MAX(IF(AND(D63&lt;&gt;"",E63&lt;&gt;"",F63&lt;&gt;""),D63*0.25+E63*0.35+F63*0.40,0),IF(AND(G63&lt;&gt;"",H63&lt;&gt;""),G63*0.65+H63*0.35,0),IF(AND(I63&lt;&gt;"",J63&lt;&gt;""),I63*0.60+J63*0.40,0))</f>
        <v/>
      </c>
      <c r="L63" s="4" t="n"/>
      <c r="M63" s="4" t="n"/>
      <c r="N63" s="7">
        <f>IF(L63="","",L63*0.70+IF(M63="",0,M63)*0.30)</f>
        <v/>
      </c>
      <c r="O63" s="4" t="n"/>
      <c r="P63" s="4" t="n"/>
      <c r="Q63" s="4" t="n"/>
      <c r="R63" s="7">
        <f>IF(P63="","",IF(O63="",0,O63)*0.35+P63*0.35+IF(Q63="",0,Q63)*0.30)</f>
        <v/>
      </c>
      <c r="S63" s="4" t="n"/>
      <c r="T63" s="4" t="n"/>
      <c r="U63" s="4" t="n"/>
      <c r="V63" s="7">
        <f>IF(T63="","",IF(S63="",0,S63)*0.35+T63*0.35+IF(U63="",0,U63)*0.30)</f>
        <v/>
      </c>
      <c r="W63" s="4" t="n"/>
      <c r="X63" s="4" t="n"/>
      <c r="Y63" s="4" t="n"/>
      <c r="Z63" s="7">
        <f>IF(X63="","",IF(W63="",0,W63)*0.35+X63*0.35+IF(Y63="",0,Y63)*0.30)</f>
        <v/>
      </c>
      <c r="AA63" s="4" t="n"/>
      <c r="AB63" s="4" t="n"/>
      <c r="AC63" s="4" t="n"/>
      <c r="AD63" s="7">
        <f>IF(AB63="","",IF(AA63="",0,AA63)*0.35+AB63*0.35+IF(AC63="",0,AC63)*0.30)</f>
        <v/>
      </c>
      <c r="AE63" s="4" t="n"/>
      <c r="AF63" s="4" t="n"/>
      <c r="AG63" s="4" t="n"/>
      <c r="AH63" s="4" t="n"/>
      <c r="AI63" s="4" t="n"/>
      <c r="AJ63" s="4" t="n"/>
      <c r="AK63" s="4" t="n"/>
      <c r="AL63" s="4" t="n"/>
      <c r="AM63" s="7" t="n"/>
      <c r="AN63" s="4" t="n"/>
      <c r="AO63" s="4" t="n"/>
      <c r="AP63" s="4" t="n"/>
      <c r="AQ63" s="4" t="n"/>
      <c r="AR63" s="4" t="n"/>
      <c r="AS63" s="4" t="n"/>
    </row>
    <row r="64">
      <c r="A64" s="7" t="inlineStr"/>
      <c r="B64" s="11" t="inlineStr">
        <is>
          <t>סרסור יסמינה</t>
        </is>
      </c>
      <c r="C64" s="7" t="inlineStr">
        <is>
          <t>יא'5</t>
        </is>
      </c>
      <c r="D64" s="4" t="n">
        <v>52</v>
      </c>
      <c r="E64" s="4" t="n"/>
      <c r="F64" s="4" t="n"/>
      <c r="G64" s="4" t="n"/>
      <c r="H64" s="4" t="n"/>
      <c r="I64" s="4" t="n"/>
      <c r="J64" s="4" t="n"/>
      <c r="K64" s="7">
        <f>MAX(IF(AND(D64&lt;&gt;"",E64&lt;&gt;"",F64&lt;&gt;""),D64*0.25+E64*0.35+F64*0.40,0),IF(AND(G64&lt;&gt;"",H64&lt;&gt;""),G64*0.65+H64*0.35,0),IF(AND(I64&lt;&gt;"",J64&lt;&gt;""),I64*0.60+J64*0.40,0))</f>
        <v/>
      </c>
      <c r="L64" s="4" t="n"/>
      <c r="M64" s="4" t="n"/>
      <c r="N64" s="7">
        <f>IF(L64="","",L64*0.70+IF(M64="",0,M64)*0.30)</f>
        <v/>
      </c>
      <c r="O64" s="4" t="n"/>
      <c r="P64" s="4" t="n">
        <v>57</v>
      </c>
      <c r="Q64" s="4" t="n"/>
      <c r="R64" s="7">
        <f>IF(P64="","",IF(O64="",0,O64)*0.35+P64*0.35+IF(Q64="",0,Q64)*0.30)</f>
        <v/>
      </c>
      <c r="S64" s="4" t="n"/>
      <c r="T64" s="4" t="n"/>
      <c r="U64" s="4" t="n"/>
      <c r="V64" s="7">
        <f>IF(T64="","",IF(S64="",0,S64)*0.35+T64*0.35+IF(U64="",0,U64)*0.30)</f>
        <v/>
      </c>
      <c r="W64" s="4" t="n"/>
      <c r="X64" s="4" t="n"/>
      <c r="Y64" s="4" t="n"/>
      <c r="Z64" s="7">
        <f>IF(X64="","",IF(W64="",0,W64)*0.35+X64*0.35+IF(Y64="",0,Y64)*0.30)</f>
        <v/>
      </c>
      <c r="AA64" s="4" t="n"/>
      <c r="AB64" s="4" t="n"/>
      <c r="AC64" s="4" t="n"/>
      <c r="AD64" s="7">
        <f>IF(AB64="","",IF(AA64="",0,AA64)*0.35+AB64*0.35+IF(AC64="",0,AC64)*0.30)</f>
        <v/>
      </c>
      <c r="AE64" s="4" t="n"/>
      <c r="AF64" s="4" t="n"/>
      <c r="AG64" s="4" t="n"/>
      <c r="AH64" s="4" t="n"/>
      <c r="AI64" s="4" t="n"/>
      <c r="AJ64" s="4" t="n"/>
      <c r="AK64" s="4" t="n"/>
      <c r="AL64" s="4" t="n"/>
      <c r="AM64" s="7" t="n">
        <v>0</v>
      </c>
      <c r="AN64" s="4" t="n">
        <v>0</v>
      </c>
      <c r="AO64" s="4" t="n">
        <v>0</v>
      </c>
      <c r="AP64" s="4" t="n"/>
      <c r="AQ64" s="4" t="n"/>
      <c r="AR64" s="4" t="n"/>
      <c r="AS64" s="4" t="n"/>
    </row>
    <row r="65">
      <c r="A65" s="7" t="inlineStr">
        <is>
          <t>217425321</t>
        </is>
      </c>
      <c r="B65" s="11" t="inlineStr">
        <is>
          <t>צריקר נועם</t>
        </is>
      </c>
      <c r="C65" s="7" t="inlineStr">
        <is>
          <t>יא'5</t>
        </is>
      </c>
      <c r="D65" s="4" t="n">
        <v>100</v>
      </c>
      <c r="E65" s="4" t="n"/>
      <c r="F65" s="4" t="n"/>
      <c r="G65" s="4" t="n"/>
      <c r="H65" s="4" t="n"/>
      <c r="I65" s="4" t="n"/>
      <c r="J65" s="4" t="n"/>
      <c r="K65" s="7">
        <f>MAX(IF(AND(D65&lt;&gt;"",E65&lt;&gt;"",F65&lt;&gt;""),D65*0.25+E65*0.35+F65*0.40,0),IF(AND(G65&lt;&gt;"",H65&lt;&gt;""),G65*0.65+H65*0.35,0),IF(AND(I65&lt;&gt;"",J65&lt;&gt;""),I65*0.60+J65*0.40,0))</f>
        <v/>
      </c>
      <c r="L65" s="4" t="n">
        <v>56</v>
      </c>
      <c r="M65" s="4" t="n">
        <v>70</v>
      </c>
      <c r="N65" s="7">
        <f>IF(L65="","",L65*0.70+IF(M65="",0,M65)*0.30)</f>
        <v/>
      </c>
      <c r="O65" s="4" t="n"/>
      <c r="P65" s="4" t="n">
        <v>95</v>
      </c>
      <c r="Q65" s="4" t="n">
        <v>95</v>
      </c>
      <c r="R65" s="7">
        <f>IF(P65="","",IF(O65="",0,O65)*0.35+P65*0.35+IF(Q65="",0,Q65)*0.30)</f>
        <v/>
      </c>
      <c r="S65" s="4" t="n"/>
      <c r="T65" s="4" t="n">
        <v>42</v>
      </c>
      <c r="U65" s="4" t="n"/>
      <c r="V65" s="7">
        <f>IF(T65="","",IF(S65="",0,S65)*0.35+T65*0.35+IF(U65="",0,U65)*0.30)</f>
        <v/>
      </c>
      <c r="W65" s="4" t="n"/>
      <c r="X65" s="4" t="n"/>
      <c r="Y65" s="4" t="n"/>
      <c r="Z65" s="7">
        <f>IF(X65="","",IF(W65="",0,W65)*0.35+X65*0.35+IF(Y65="",0,Y65)*0.30)</f>
        <v/>
      </c>
      <c r="AA65" s="4" t="n"/>
      <c r="AB65" s="4" t="n"/>
      <c r="AC65" s="4" t="n"/>
      <c r="AD65" s="7">
        <f>IF(AB65="","",IF(AA65="",0,AA65)*0.35+AB65*0.35+IF(AC65="",0,AC65)*0.30)</f>
        <v/>
      </c>
      <c r="AE65" s="4" t="n"/>
      <c r="AF65" s="4" t="n"/>
      <c r="AG65" s="4" t="n"/>
      <c r="AH65" s="4" t="n"/>
      <c r="AI65" s="4" t="n"/>
      <c r="AJ65" s="4" t="n"/>
      <c r="AK65" s="4" t="n"/>
      <c r="AL65" s="4" t="n"/>
      <c r="AM65" s="7" t="n">
        <v>0</v>
      </c>
      <c r="AN65" s="4" t="n">
        <v>0</v>
      </c>
      <c r="AO65" s="4" t="n">
        <v>0</v>
      </c>
      <c r="AP65" s="4" t="n"/>
      <c r="AQ65" s="4" t="n"/>
      <c r="AR65" s="4" t="n"/>
      <c r="AS65" s="4" t="n"/>
    </row>
    <row r="66">
      <c r="A66" s="7" t="inlineStr"/>
      <c r="B66" s="11" t="inlineStr">
        <is>
          <t>קונטררס קריא אילנה ולנטינה</t>
        </is>
      </c>
      <c r="C66" s="7" t="inlineStr">
        <is>
          <t>יא'5</t>
        </is>
      </c>
      <c r="D66" s="4" t="n">
        <v>100</v>
      </c>
      <c r="E66" s="4" t="n"/>
      <c r="F66" s="4" t="n"/>
      <c r="G66" s="4" t="n"/>
      <c r="H66" s="4" t="n"/>
      <c r="I66" s="4" t="n"/>
      <c r="J66" s="4" t="n"/>
      <c r="K66" s="7">
        <f>MAX(IF(AND(D66&lt;&gt;"",E66&lt;&gt;"",F66&lt;&gt;""),D66*0.25+E66*0.35+F66*0.40,0),IF(AND(G66&lt;&gt;"",H66&lt;&gt;""),G66*0.65+H66*0.35,0),IF(AND(I66&lt;&gt;"",J66&lt;&gt;""),I66*0.60+J66*0.40,0))</f>
        <v/>
      </c>
      <c r="L66" s="4" t="n">
        <v>53</v>
      </c>
      <c r="M66" s="4" t="n">
        <v>73</v>
      </c>
      <c r="N66" s="7">
        <f>IF(L66="","",L66*0.70+IF(M66="",0,M66)*0.30)</f>
        <v/>
      </c>
      <c r="O66" s="4" t="n"/>
      <c r="P66" s="4" t="n">
        <v>100</v>
      </c>
      <c r="Q66" s="4" t="n">
        <v>100</v>
      </c>
      <c r="R66" s="7">
        <f>IF(P66="","",IF(O66="",0,O66)*0.35+P66*0.35+IF(Q66="",0,Q66)*0.30)</f>
        <v/>
      </c>
      <c r="S66" s="4" t="n"/>
      <c r="T66" s="4" t="n">
        <v>51</v>
      </c>
      <c r="U66" s="4" t="n"/>
      <c r="V66" s="7">
        <f>IF(T66="","",IF(S66="",0,S66)*0.35+T66*0.35+IF(U66="",0,U66)*0.30)</f>
        <v/>
      </c>
      <c r="W66" s="4" t="n"/>
      <c r="X66" s="4" t="n"/>
      <c r="Y66" s="4" t="n"/>
      <c r="Z66" s="7">
        <f>IF(X66="","",IF(W66="",0,W66)*0.35+X66*0.35+IF(Y66="",0,Y66)*0.30)</f>
        <v/>
      </c>
      <c r="AA66" s="4" t="n"/>
      <c r="AB66" s="4" t="n"/>
      <c r="AC66" s="4" t="n"/>
      <c r="AD66" s="7">
        <f>IF(AB66="","",IF(AA66="",0,AA66)*0.35+AB66*0.35+IF(AC66="",0,AC66)*0.30)</f>
        <v/>
      </c>
      <c r="AE66" s="4" t="n"/>
      <c r="AF66" s="4" t="n"/>
      <c r="AG66" s="4" t="n"/>
      <c r="AH66" s="4" t="n"/>
      <c r="AI66" s="4" t="n"/>
      <c r="AJ66" s="4" t="n"/>
      <c r="AK66" s="4" t="n"/>
      <c r="AL66" s="4" t="n"/>
      <c r="AM66" s="7" t="n">
        <v>0</v>
      </c>
      <c r="AN66" s="4" t="n">
        <v>0</v>
      </c>
      <c r="AO66" s="4" t="n">
        <v>0</v>
      </c>
      <c r="AP66" s="4" t="n"/>
      <c r="AQ66" s="4" t="n"/>
      <c r="AR66" s="4" t="n"/>
      <c r="AS66" s="4" t="n"/>
    </row>
    <row r="67">
      <c r="A67" s="7" t="inlineStr">
        <is>
          <t>333183259</t>
        </is>
      </c>
      <c r="B67" s="11" t="inlineStr">
        <is>
          <t>רוי אמיליה</t>
        </is>
      </c>
      <c r="C67" s="7" t="inlineStr">
        <is>
          <t>יא'5</t>
        </is>
      </c>
      <c r="D67" s="4" t="n"/>
      <c r="E67" s="4" t="n"/>
      <c r="F67" s="4" t="n"/>
      <c r="G67" s="4" t="n"/>
      <c r="H67" s="4" t="n"/>
      <c r="I67" s="4" t="n"/>
      <c r="J67" s="4" t="n"/>
      <c r="K67" s="7">
        <f>MAX(IF(AND(D67&lt;&gt;"",E67&lt;&gt;"",F67&lt;&gt;""),D67*0.25+E67*0.35+F67*0.40,0),IF(AND(G67&lt;&gt;"",H67&lt;&gt;""),G67*0.65+H67*0.35,0),IF(AND(I67&lt;&gt;"",J67&lt;&gt;""),I67*0.60+J67*0.40,0))</f>
        <v/>
      </c>
      <c r="L67" s="4" t="n">
        <v>77</v>
      </c>
      <c r="M67" s="4" t="n">
        <v>80</v>
      </c>
      <c r="N67" s="7">
        <f>IF(L67="","",L67*0.70+IF(M67="",0,M67)*0.30)</f>
        <v/>
      </c>
      <c r="O67" s="4" t="n"/>
      <c r="P67" s="4" t="n">
        <v>100</v>
      </c>
      <c r="Q67" s="4" t="n">
        <v>100</v>
      </c>
      <c r="R67" s="7">
        <f>IF(P67="","",IF(O67="",0,O67)*0.35+P67*0.35+IF(Q67="",0,Q67)*0.30)</f>
        <v/>
      </c>
      <c r="S67" s="4" t="n"/>
      <c r="T67" s="4" t="n">
        <v>86</v>
      </c>
      <c r="U67" s="4" t="n"/>
      <c r="V67" s="7">
        <f>IF(T67="","",IF(S67="",0,S67)*0.35+T67*0.35+IF(U67="",0,U67)*0.30)</f>
        <v/>
      </c>
      <c r="W67" s="4" t="n"/>
      <c r="X67" s="4" t="n"/>
      <c r="Y67" s="4" t="n"/>
      <c r="Z67" s="7">
        <f>IF(X67="","",IF(W67="",0,W67)*0.35+X67*0.35+IF(Y67="",0,Y67)*0.30)</f>
        <v/>
      </c>
      <c r="AA67" s="4" t="n"/>
      <c r="AB67" s="4" t="n"/>
      <c r="AC67" s="4" t="n"/>
      <c r="AD67" s="7">
        <f>IF(AB67="","",IF(AA67="",0,AA67)*0.35+AB67*0.35+IF(AC67="",0,AC67)*0.30)</f>
        <v/>
      </c>
      <c r="AE67" s="4" t="n"/>
      <c r="AF67" s="4" t="n"/>
      <c r="AG67" s="4" t="n"/>
      <c r="AH67" s="4" t="n"/>
      <c r="AI67" s="4" t="n"/>
      <c r="AJ67" s="4" t="n"/>
      <c r="AK67" s="4" t="n"/>
      <c r="AL67" s="4" t="n"/>
      <c r="AM67" s="7" t="n">
        <v>0</v>
      </c>
      <c r="AN67" s="4" t="n">
        <v>0</v>
      </c>
      <c r="AO67" s="4" t="n">
        <v>0</v>
      </c>
      <c r="AP67" s="4" t="n"/>
      <c r="AQ67" s="4" t="n"/>
      <c r="AR67" s="4" t="n"/>
      <c r="AS67" s="4" t="n"/>
    </row>
    <row r="68">
      <c r="A68" s="7" t="inlineStr">
        <is>
          <t>333060366</t>
        </is>
      </c>
      <c r="B68" s="11" t="inlineStr">
        <is>
          <t>שטר אפרת דבורה</t>
        </is>
      </c>
      <c r="C68" s="7" t="inlineStr">
        <is>
          <t>יא'5</t>
        </is>
      </c>
      <c r="D68" s="4" t="n">
        <v>100</v>
      </c>
      <c r="E68" s="4" t="n"/>
      <c r="F68" s="4" t="n"/>
      <c r="G68" s="4" t="n"/>
      <c r="H68" s="4" t="n"/>
      <c r="I68" s="4" t="n"/>
      <c r="J68" s="4" t="n"/>
      <c r="K68" s="7">
        <f>MAX(IF(AND(D68&lt;&gt;"",E68&lt;&gt;"",F68&lt;&gt;""),D68*0.25+E68*0.35+F68*0.40,0),IF(AND(G68&lt;&gt;"",H68&lt;&gt;""),G68*0.65+H68*0.35,0),IF(AND(I68&lt;&gt;"",J68&lt;&gt;""),I68*0.60+J68*0.40,0))</f>
        <v/>
      </c>
      <c r="L68" s="4" t="n">
        <v>67</v>
      </c>
      <c r="M68" s="4" t="n"/>
      <c r="N68" s="7">
        <f>IF(L68="","",L68*0.70+IF(M68="",0,M68)*0.30)</f>
        <v/>
      </c>
      <c r="O68" s="4" t="n"/>
      <c r="P68" s="4" t="n"/>
      <c r="Q68" s="4" t="n"/>
      <c r="R68" s="7">
        <f>IF(P68="","",IF(O68="",0,O68)*0.35+P68*0.35+IF(Q68="",0,Q68)*0.30)</f>
        <v/>
      </c>
      <c r="S68" s="4" t="n"/>
      <c r="T68" s="4" t="n">
        <v>64</v>
      </c>
      <c r="U68" s="4" t="n"/>
      <c r="V68" s="7">
        <f>IF(T68="","",IF(S68="",0,S68)*0.35+T68*0.35+IF(U68="",0,U68)*0.30)</f>
        <v/>
      </c>
      <c r="W68" s="4" t="n"/>
      <c r="X68" s="4" t="n"/>
      <c r="Y68" s="4" t="n"/>
      <c r="Z68" s="7">
        <f>IF(X68="","",IF(W68="",0,W68)*0.35+X68*0.35+IF(Y68="",0,Y68)*0.30)</f>
        <v/>
      </c>
      <c r="AA68" s="4" t="n"/>
      <c r="AB68" s="4" t="n"/>
      <c r="AC68" s="4" t="n"/>
      <c r="AD68" s="7">
        <f>IF(AB68="","",IF(AA68="",0,AA68)*0.35+AB68*0.35+IF(AC68="",0,AC68)*0.30)</f>
        <v/>
      </c>
      <c r="AE68" s="4" t="n"/>
      <c r="AF68" s="4" t="n"/>
      <c r="AG68" s="4" t="n"/>
      <c r="AH68" s="4" t="n"/>
      <c r="AI68" s="4" t="n"/>
      <c r="AJ68" s="4" t="n"/>
      <c r="AK68" s="4" t="n"/>
      <c r="AL68" s="4" t="n"/>
      <c r="AM68" s="7" t="n">
        <v>0</v>
      </c>
      <c r="AN68" s="4" t="n">
        <v>0</v>
      </c>
      <c r="AO68" s="4" t="n">
        <v>0</v>
      </c>
      <c r="AP68" s="4" t="n"/>
      <c r="AQ68" s="4" t="n"/>
      <c r="AR68" s="4" t="n"/>
      <c r="AS68" s="4" t="n"/>
    </row>
    <row r="69">
      <c r="A69" s="7" t="inlineStr">
        <is>
          <t>217807361</t>
        </is>
      </c>
      <c r="B69" s="11" t="inlineStr">
        <is>
          <t>בן עטר ארד</t>
        </is>
      </c>
      <c r="C69" s="7" t="inlineStr">
        <is>
          <t>יא'6</t>
        </is>
      </c>
      <c r="D69" s="4" t="n"/>
      <c r="E69" s="4" t="n"/>
      <c r="F69" s="4" t="n"/>
      <c r="G69" s="4" t="n"/>
      <c r="H69" s="4" t="n"/>
      <c r="I69" s="4" t="n"/>
      <c r="J69" s="4" t="n"/>
      <c r="K69" s="7">
        <f>MAX(IF(AND(D69&lt;&gt;"",E69&lt;&gt;"",F69&lt;&gt;""),D69*0.25+E69*0.35+F69*0.40,0),IF(AND(G69&lt;&gt;"",H69&lt;&gt;""),G69*0.65+H69*0.35,0),IF(AND(I69&lt;&gt;"",J69&lt;&gt;""),I69*0.60+J69*0.40,0))</f>
        <v/>
      </c>
      <c r="L69" s="4" t="n">
        <v>79</v>
      </c>
      <c r="M69" s="4" t="n">
        <v>85</v>
      </c>
      <c r="N69" s="7">
        <f>IF(L69="","",L69*0.70+IF(M69="",0,M69)*0.30)</f>
        <v/>
      </c>
      <c r="O69" s="4" t="n"/>
      <c r="P69" s="4" t="n">
        <v>92</v>
      </c>
      <c r="Q69" s="4" t="n">
        <v>100</v>
      </c>
      <c r="R69" s="7">
        <f>IF(P69="","",IF(O69="",0,O69)*0.35+P69*0.35+IF(Q69="",0,Q69)*0.30)</f>
        <v/>
      </c>
      <c r="S69" s="4" t="n"/>
      <c r="T69" s="4" t="n">
        <v>86</v>
      </c>
      <c r="U69" s="4" t="n"/>
      <c r="V69" s="7">
        <f>IF(T69="","",IF(S69="",0,S69)*0.35+T69*0.35+IF(U69="",0,U69)*0.30)</f>
        <v/>
      </c>
      <c r="W69" s="4" t="n"/>
      <c r="X69" s="4" t="n"/>
      <c r="Y69" s="4" t="n"/>
      <c r="Z69" s="7">
        <f>IF(X69="","",IF(W69="",0,W69)*0.35+X69*0.35+IF(Y69="",0,Y69)*0.30)</f>
        <v/>
      </c>
      <c r="AA69" s="4" t="n"/>
      <c r="AB69" s="4" t="n"/>
      <c r="AC69" s="4" t="n"/>
      <c r="AD69" s="7">
        <f>IF(AB69="","",IF(AA69="",0,AA69)*0.35+AB69*0.35+IF(AC69="",0,AC69)*0.30)</f>
        <v/>
      </c>
      <c r="AE69" s="4" t="n"/>
      <c r="AF69" s="4" t="n"/>
      <c r="AG69" s="4" t="n"/>
      <c r="AH69" s="4" t="n"/>
      <c r="AI69" s="4" t="n"/>
      <c r="AJ69" s="4" t="n"/>
      <c r="AK69" s="4" t="n"/>
      <c r="AL69" s="4" t="n"/>
      <c r="AM69" s="7" t="n">
        <v>0</v>
      </c>
      <c r="AN69" s="4" t="n">
        <v>0</v>
      </c>
      <c r="AO69" s="4" t="n">
        <v>0</v>
      </c>
      <c r="AP69" s="4" t="n"/>
      <c r="AQ69" s="4" t="n"/>
      <c r="AR69" s="4" t="n"/>
      <c r="AS69" s="4" t="n"/>
    </row>
    <row r="70">
      <c r="A70" s="7" t="inlineStr">
        <is>
          <t>333693950</t>
        </is>
      </c>
      <c r="B70" s="11" t="inlineStr">
        <is>
          <t>בן-יצחק יובל</t>
        </is>
      </c>
      <c r="C70" s="7" t="inlineStr">
        <is>
          <t>יא'6</t>
        </is>
      </c>
      <c r="D70" s="4" t="n">
        <v>94</v>
      </c>
      <c r="E70" s="4" t="n"/>
      <c r="F70" s="4" t="n"/>
      <c r="G70" s="4" t="n"/>
      <c r="H70" s="4" t="n"/>
      <c r="I70" s="4" t="n"/>
      <c r="J70" s="4" t="n"/>
      <c r="K70" s="7">
        <f>MAX(IF(AND(D70&lt;&gt;"",E70&lt;&gt;"",F70&lt;&gt;""),D70*0.25+E70*0.35+F70*0.40,0),IF(AND(G70&lt;&gt;"",H70&lt;&gt;""),G70*0.65+H70*0.35,0),IF(AND(I70&lt;&gt;"",J70&lt;&gt;""),I70*0.60+J70*0.40,0))</f>
        <v/>
      </c>
      <c r="L70" s="4" t="n">
        <v>76</v>
      </c>
      <c r="M70" s="4" t="n"/>
      <c r="N70" s="7">
        <f>IF(L70="","",L70*0.70+IF(M70="",0,M70)*0.30)</f>
        <v/>
      </c>
      <c r="O70" s="4" t="n"/>
      <c r="P70" s="4" t="n">
        <v>100</v>
      </c>
      <c r="Q70" s="4" t="n">
        <v>100</v>
      </c>
      <c r="R70" s="7">
        <f>IF(P70="","",IF(O70="",0,O70)*0.35+P70*0.35+IF(Q70="",0,Q70)*0.30)</f>
        <v/>
      </c>
      <c r="S70" s="4" t="n"/>
      <c r="T70" s="4" t="n">
        <v>90</v>
      </c>
      <c r="U70" s="4" t="n"/>
      <c r="V70" s="7">
        <f>IF(T70="","",IF(S70="",0,S70)*0.35+T70*0.35+IF(U70="",0,U70)*0.30)</f>
        <v/>
      </c>
      <c r="W70" s="4" t="n"/>
      <c r="X70" s="4" t="n"/>
      <c r="Y70" s="4" t="n"/>
      <c r="Z70" s="7">
        <f>IF(X70="","",IF(W70="",0,W70)*0.35+X70*0.35+IF(Y70="",0,Y70)*0.30)</f>
        <v/>
      </c>
      <c r="AA70" s="4" t="n"/>
      <c r="AB70" s="4" t="n"/>
      <c r="AC70" s="4" t="n"/>
      <c r="AD70" s="7">
        <f>IF(AB70="","",IF(AA70="",0,AA70)*0.35+AB70*0.35+IF(AC70="",0,AC70)*0.30)</f>
        <v/>
      </c>
      <c r="AE70" s="4" t="n"/>
      <c r="AF70" s="4" t="n"/>
      <c r="AG70" s="4" t="n"/>
      <c r="AH70" s="4" t="n"/>
      <c r="AI70" s="4" t="n"/>
      <c r="AJ70" s="4" t="n"/>
      <c r="AK70" s="4" t="n"/>
      <c r="AL70" s="4" t="n"/>
      <c r="AM70" s="7" t="n">
        <v>0</v>
      </c>
      <c r="AN70" s="4" t="n">
        <v>0</v>
      </c>
      <c r="AO70" s="4" t="n">
        <v>0</v>
      </c>
      <c r="AP70" s="4" t="n"/>
      <c r="AQ70" s="4" t="n"/>
      <c r="AR70" s="4" t="n"/>
      <c r="AS70" s="4" t="n"/>
    </row>
    <row r="71">
      <c r="A71" s="7" t="inlineStr">
        <is>
          <t>218068807</t>
        </is>
      </c>
      <c r="B71" s="11" t="inlineStr">
        <is>
          <t>גבאי שגב</t>
        </is>
      </c>
      <c r="C71" s="7" t="inlineStr">
        <is>
          <t>יא'6</t>
        </is>
      </c>
      <c r="D71" s="4" t="n"/>
      <c r="E71" s="4" t="n"/>
      <c r="F71" s="4" t="n"/>
      <c r="G71" s="4" t="n"/>
      <c r="H71" s="4" t="n"/>
      <c r="I71" s="4" t="n"/>
      <c r="J71" s="4" t="n"/>
      <c r="K71" s="7">
        <f>MAX(IF(AND(D71&lt;&gt;"",E71&lt;&gt;"",F71&lt;&gt;""),D71*0.25+E71*0.35+F71*0.40,0),IF(AND(G71&lt;&gt;"",H71&lt;&gt;""),G71*0.65+H71*0.35,0),IF(AND(I71&lt;&gt;"",J71&lt;&gt;""),I71*0.60+J71*0.40,0))</f>
        <v/>
      </c>
      <c r="L71" s="4" t="n">
        <v>49</v>
      </c>
      <c r="M71" s="4" t="n">
        <v>80</v>
      </c>
      <c r="N71" s="7">
        <f>IF(L71="","",L71*0.70+IF(M71="",0,M71)*0.30)</f>
        <v/>
      </c>
      <c r="O71" s="4" t="n"/>
      <c r="P71" s="4" t="n">
        <v>85</v>
      </c>
      <c r="Q71" s="4" t="n">
        <v>100</v>
      </c>
      <c r="R71" s="7">
        <f>IF(P71="","",IF(O71="",0,O71)*0.35+P71*0.35+IF(Q71="",0,Q71)*0.30)</f>
        <v/>
      </c>
      <c r="S71" s="4" t="n"/>
      <c r="T71" s="4" t="n">
        <v>66</v>
      </c>
      <c r="U71" s="4" t="n"/>
      <c r="V71" s="7">
        <f>IF(T71="","",IF(S71="",0,S71)*0.35+T71*0.35+IF(U71="",0,U71)*0.30)</f>
        <v/>
      </c>
      <c r="W71" s="4" t="n"/>
      <c r="X71" s="4" t="n"/>
      <c r="Y71" s="4" t="n"/>
      <c r="Z71" s="7">
        <f>IF(X71="","",IF(W71="",0,W71)*0.35+X71*0.35+IF(Y71="",0,Y71)*0.30)</f>
        <v/>
      </c>
      <c r="AA71" s="4" t="n"/>
      <c r="AB71" s="4" t="n"/>
      <c r="AC71" s="4" t="n"/>
      <c r="AD71" s="7">
        <f>IF(AB71="","",IF(AA71="",0,AA71)*0.35+AB71*0.35+IF(AC71="",0,AC71)*0.30)</f>
        <v/>
      </c>
      <c r="AE71" s="4" t="n"/>
      <c r="AF71" s="4" t="n"/>
      <c r="AG71" s="4" t="n"/>
      <c r="AH71" s="4" t="n"/>
      <c r="AI71" s="4" t="n"/>
      <c r="AJ71" s="4" t="n"/>
      <c r="AK71" s="4" t="n"/>
      <c r="AL71" s="4" t="n"/>
      <c r="AM71" s="7" t="n">
        <v>0</v>
      </c>
      <c r="AN71" s="4" t="n">
        <v>0</v>
      </c>
      <c r="AO71" s="4" t="n">
        <v>0</v>
      </c>
      <c r="AP71" s="4" t="n"/>
      <c r="AQ71" s="4" t="n"/>
      <c r="AR71" s="4" t="n"/>
      <c r="AS71" s="4" t="n"/>
    </row>
    <row r="72">
      <c r="A72" s="7" t="inlineStr">
        <is>
          <t>218773927</t>
        </is>
      </c>
      <c r="B72" s="11" t="inlineStr">
        <is>
          <t>גולדנברג שי-אל פריידה</t>
        </is>
      </c>
      <c r="C72" s="7" t="inlineStr">
        <is>
          <t>יא'6</t>
        </is>
      </c>
      <c r="D72" s="4" t="n"/>
      <c r="E72" s="4" t="n"/>
      <c r="F72" s="4" t="n"/>
      <c r="G72" s="4" t="n"/>
      <c r="H72" s="4" t="n"/>
      <c r="I72" s="4" t="n"/>
      <c r="J72" s="4" t="n"/>
      <c r="K72" s="7">
        <f>MAX(IF(AND(D72&lt;&gt;"",E72&lt;&gt;"",F72&lt;&gt;""),D72*0.25+E72*0.35+F72*0.40,0),IF(AND(G72&lt;&gt;"",H72&lt;&gt;""),G72*0.65+H72*0.35,0),IF(AND(I72&lt;&gt;"",J72&lt;&gt;""),I72*0.60+J72*0.40,0))</f>
        <v/>
      </c>
      <c r="L72" s="4" t="n">
        <v>77</v>
      </c>
      <c r="M72" s="4" t="n">
        <v>88</v>
      </c>
      <c r="N72" s="7">
        <f>IF(L72="","",L72*0.70+IF(M72="",0,M72)*0.30)</f>
        <v/>
      </c>
      <c r="O72" s="4" t="n"/>
      <c r="P72" s="4" t="n">
        <v>95</v>
      </c>
      <c r="Q72" s="4" t="n">
        <v>100</v>
      </c>
      <c r="R72" s="7">
        <f>IF(P72="","",IF(O72="",0,O72)*0.35+P72*0.35+IF(Q72="",0,Q72)*0.30)</f>
        <v/>
      </c>
      <c r="S72" s="4" t="n"/>
      <c r="T72" s="4" t="n">
        <v>67</v>
      </c>
      <c r="U72" s="4" t="n"/>
      <c r="V72" s="7">
        <f>IF(T72="","",IF(S72="",0,S72)*0.35+T72*0.35+IF(U72="",0,U72)*0.30)</f>
        <v/>
      </c>
      <c r="W72" s="4" t="n"/>
      <c r="X72" s="4" t="n"/>
      <c r="Y72" s="4" t="n"/>
      <c r="Z72" s="7">
        <f>IF(X72="","",IF(W72="",0,W72)*0.35+X72*0.35+IF(Y72="",0,Y72)*0.30)</f>
        <v/>
      </c>
      <c r="AA72" s="4" t="n"/>
      <c r="AB72" s="4" t="n"/>
      <c r="AC72" s="4" t="n"/>
      <c r="AD72" s="7">
        <f>IF(AB72="","",IF(AA72="",0,AA72)*0.35+AB72*0.35+IF(AC72="",0,AC72)*0.30)</f>
        <v/>
      </c>
      <c r="AE72" s="4" t="n"/>
      <c r="AF72" s="4" t="n"/>
      <c r="AG72" s="4" t="n"/>
      <c r="AH72" s="4" t="n"/>
      <c r="AI72" s="4" t="n"/>
      <c r="AJ72" s="4" t="n"/>
      <c r="AK72" s="4" t="n"/>
      <c r="AL72" s="4" t="n"/>
      <c r="AM72" s="7" t="n">
        <v>0</v>
      </c>
      <c r="AN72" s="4" t="n">
        <v>0</v>
      </c>
      <c r="AO72" s="4" t="n">
        <v>0</v>
      </c>
      <c r="AP72" s="4" t="n"/>
      <c r="AQ72" s="4" t="n"/>
      <c r="AR72" s="4" t="n"/>
      <c r="AS72" s="4" t="n"/>
    </row>
    <row r="73">
      <c r="A73" s="7" t="inlineStr">
        <is>
          <t>218914430</t>
        </is>
      </c>
      <c r="B73" s="11" t="inlineStr">
        <is>
          <t>דורי אלה</t>
        </is>
      </c>
      <c r="C73" s="7" t="inlineStr">
        <is>
          <t>יא'6</t>
        </is>
      </c>
      <c r="D73" s="4" t="n"/>
      <c r="E73" s="4" t="n"/>
      <c r="F73" s="4" t="n"/>
      <c r="G73" s="4" t="n"/>
      <c r="H73" s="4" t="n"/>
      <c r="I73" s="4" t="n"/>
      <c r="J73" s="4" t="n"/>
      <c r="K73" s="7">
        <f>MAX(IF(AND(D73&lt;&gt;"",E73&lt;&gt;"",F73&lt;&gt;""),D73*0.25+E73*0.35+F73*0.40,0),IF(AND(G73&lt;&gt;"",H73&lt;&gt;""),G73*0.65+H73*0.35,0),IF(AND(I73&lt;&gt;"",J73&lt;&gt;""),I73*0.60+J73*0.40,0))</f>
        <v/>
      </c>
      <c r="L73" s="4" t="n">
        <v>89</v>
      </c>
      <c r="M73" s="4" t="n">
        <v>81</v>
      </c>
      <c r="N73" s="7">
        <f>IF(L73="","",L73*0.70+IF(M73="",0,M73)*0.30)</f>
        <v/>
      </c>
      <c r="O73" s="4" t="n"/>
      <c r="P73" s="4" t="n">
        <v>95</v>
      </c>
      <c r="Q73" s="4" t="n">
        <v>100</v>
      </c>
      <c r="R73" s="7">
        <f>IF(P73="","",IF(O73="",0,O73)*0.35+P73*0.35+IF(Q73="",0,Q73)*0.30)</f>
        <v/>
      </c>
      <c r="S73" s="4" t="n"/>
      <c r="T73" s="4" t="n">
        <v>79</v>
      </c>
      <c r="U73" s="4" t="n"/>
      <c r="V73" s="7">
        <f>IF(T73="","",IF(S73="",0,S73)*0.35+T73*0.35+IF(U73="",0,U73)*0.30)</f>
        <v/>
      </c>
      <c r="W73" s="4" t="n"/>
      <c r="X73" s="4" t="n"/>
      <c r="Y73" s="4" t="n"/>
      <c r="Z73" s="7">
        <f>IF(X73="","",IF(W73="",0,W73)*0.35+X73*0.35+IF(Y73="",0,Y73)*0.30)</f>
        <v/>
      </c>
      <c r="AA73" s="4" t="n"/>
      <c r="AB73" s="4" t="n"/>
      <c r="AC73" s="4" t="n"/>
      <c r="AD73" s="7">
        <f>IF(AB73="","",IF(AA73="",0,AA73)*0.35+AB73*0.35+IF(AC73="",0,AC73)*0.30)</f>
        <v/>
      </c>
      <c r="AE73" s="4" t="n"/>
      <c r="AF73" s="4" t="n"/>
      <c r="AG73" s="4" t="n"/>
      <c r="AH73" s="4" t="n"/>
      <c r="AI73" s="4" t="n"/>
      <c r="AJ73" s="4" t="n"/>
      <c r="AK73" s="4" t="n"/>
      <c r="AL73" s="4" t="n"/>
      <c r="AM73" s="7" t="n">
        <v>0</v>
      </c>
      <c r="AN73" s="4" t="n">
        <v>0</v>
      </c>
      <c r="AO73" s="4" t="n">
        <v>0</v>
      </c>
      <c r="AP73" s="4" t="n"/>
      <c r="AQ73" s="4" t="n"/>
      <c r="AR73" s="4" t="n"/>
      <c r="AS73" s="4" t="n"/>
    </row>
    <row r="74">
      <c r="A74" s="7" t="inlineStr">
        <is>
          <t>217885219</t>
        </is>
      </c>
      <c r="B74" s="11" t="inlineStr">
        <is>
          <t>דקל טומי</t>
        </is>
      </c>
      <c r="C74" s="7" t="inlineStr">
        <is>
          <t>יא'6</t>
        </is>
      </c>
      <c r="D74" s="4" t="n">
        <v>100</v>
      </c>
      <c r="E74" s="4" t="n"/>
      <c r="F74" s="4" t="n"/>
      <c r="G74" s="4" t="n"/>
      <c r="H74" s="4" t="n"/>
      <c r="I74" s="4" t="n"/>
      <c r="J74" s="4" t="n"/>
      <c r="K74" s="7">
        <f>MAX(IF(AND(D74&lt;&gt;"",E74&lt;&gt;"",F74&lt;&gt;""),D74*0.25+E74*0.35+F74*0.40,0),IF(AND(G74&lt;&gt;"",H74&lt;&gt;""),G74*0.65+H74*0.35,0),IF(AND(I74&lt;&gt;"",J74&lt;&gt;""),I74*0.60+J74*0.40,0))</f>
        <v/>
      </c>
      <c r="L74" s="4" t="n">
        <v>66</v>
      </c>
      <c r="M74" s="4" t="n">
        <v>50</v>
      </c>
      <c r="N74" s="7">
        <f>IF(L74="","",L74*0.70+IF(M74="",0,M74)*0.30)</f>
        <v/>
      </c>
      <c r="O74" s="4" t="n"/>
      <c r="P74" s="4" t="n">
        <v>77</v>
      </c>
      <c r="Q74" s="4" t="n">
        <v>100</v>
      </c>
      <c r="R74" s="7">
        <f>IF(P74="","",IF(O74="",0,O74)*0.35+P74*0.35+IF(Q74="",0,Q74)*0.30)</f>
        <v/>
      </c>
      <c r="S74" s="4" t="n"/>
      <c r="T74" s="4" t="n">
        <v>60</v>
      </c>
      <c r="U74" s="4" t="n"/>
      <c r="V74" s="7">
        <f>IF(T74="","",IF(S74="",0,S74)*0.35+T74*0.35+IF(U74="",0,U74)*0.30)</f>
        <v/>
      </c>
      <c r="W74" s="4" t="n"/>
      <c r="X74" s="4" t="n"/>
      <c r="Y74" s="4" t="n"/>
      <c r="Z74" s="7">
        <f>IF(X74="","",IF(W74="",0,W74)*0.35+X74*0.35+IF(Y74="",0,Y74)*0.30)</f>
        <v/>
      </c>
      <c r="AA74" s="4" t="n"/>
      <c r="AB74" s="4" t="n"/>
      <c r="AC74" s="4" t="n"/>
      <c r="AD74" s="7">
        <f>IF(AB74="","",IF(AA74="",0,AA74)*0.35+AB74*0.35+IF(AC74="",0,AC74)*0.30)</f>
        <v/>
      </c>
      <c r="AE74" s="4" t="n"/>
      <c r="AF74" s="4" t="n"/>
      <c r="AG74" s="4" t="n"/>
      <c r="AH74" s="4" t="n"/>
      <c r="AI74" s="4" t="n"/>
      <c r="AJ74" s="4" t="n"/>
      <c r="AK74" s="4" t="n"/>
      <c r="AL74" s="4" t="n"/>
      <c r="AM74" s="7" t="n">
        <v>0</v>
      </c>
      <c r="AN74" s="4" t="n">
        <v>0</v>
      </c>
      <c r="AO74" s="4" t="n">
        <v>0</v>
      </c>
      <c r="AP74" s="4" t="n"/>
      <c r="AQ74" s="4" t="n"/>
      <c r="AR74" s="4" t="n"/>
      <c r="AS74" s="4" t="n"/>
    </row>
    <row r="75">
      <c r="A75" s="7" t="inlineStr">
        <is>
          <t>334125614</t>
        </is>
      </c>
      <c r="B75" s="11" t="inlineStr">
        <is>
          <t>וקנין הלל</t>
        </is>
      </c>
      <c r="C75" s="7" t="inlineStr">
        <is>
          <t>יא'6</t>
        </is>
      </c>
      <c r="D75" s="4" t="n"/>
      <c r="E75" s="4" t="n"/>
      <c r="F75" s="4" t="n"/>
      <c r="G75" s="4" t="n"/>
      <c r="H75" s="4" t="n"/>
      <c r="I75" s="4" t="n"/>
      <c r="J75" s="4" t="n"/>
      <c r="K75" s="7">
        <f>MAX(IF(AND(D75&lt;&gt;"",E75&lt;&gt;"",F75&lt;&gt;""),D75*0.25+E75*0.35+F75*0.40,0),IF(AND(G75&lt;&gt;"",H75&lt;&gt;""),G75*0.65+H75*0.35,0),IF(AND(I75&lt;&gt;"",J75&lt;&gt;""),I75*0.60+J75*0.40,0))</f>
        <v/>
      </c>
      <c r="L75" s="4" t="n">
        <v>94</v>
      </c>
      <c r="M75" s="4" t="n">
        <v>97</v>
      </c>
      <c r="N75" s="7">
        <f>IF(L75="","",L75*0.70+IF(M75="",0,M75)*0.30)</f>
        <v/>
      </c>
      <c r="O75" s="4" t="n"/>
      <c r="P75" s="4" t="n">
        <v>98</v>
      </c>
      <c r="Q75" s="4" t="n">
        <v>100</v>
      </c>
      <c r="R75" s="7">
        <f>IF(P75="","",IF(O75="",0,O75)*0.35+P75*0.35+IF(Q75="",0,Q75)*0.30)</f>
        <v/>
      </c>
      <c r="S75" s="4" t="n"/>
      <c r="T75" s="4" t="n">
        <v>76</v>
      </c>
      <c r="U75" s="4" t="n"/>
      <c r="V75" s="7">
        <f>IF(T75="","",IF(S75="",0,S75)*0.35+T75*0.35+IF(U75="",0,U75)*0.30)</f>
        <v/>
      </c>
      <c r="W75" s="4" t="n"/>
      <c r="X75" s="4" t="n"/>
      <c r="Y75" s="4" t="n"/>
      <c r="Z75" s="7">
        <f>IF(X75="","",IF(W75="",0,W75)*0.35+X75*0.35+IF(Y75="",0,Y75)*0.30)</f>
        <v/>
      </c>
      <c r="AA75" s="4" t="n"/>
      <c r="AB75" s="4" t="n"/>
      <c r="AC75" s="4" t="n"/>
      <c r="AD75" s="7">
        <f>IF(AB75="","",IF(AA75="",0,AA75)*0.35+AB75*0.35+IF(AC75="",0,AC75)*0.30)</f>
        <v/>
      </c>
      <c r="AE75" s="4" t="n"/>
      <c r="AF75" s="4" t="n"/>
      <c r="AG75" s="4" t="n"/>
      <c r="AH75" s="4" t="n"/>
      <c r="AI75" s="4" t="n"/>
      <c r="AJ75" s="4" t="n"/>
      <c r="AK75" s="4" t="n"/>
      <c r="AL75" s="4" t="n"/>
      <c r="AM75" s="7" t="n">
        <v>0</v>
      </c>
      <c r="AN75" s="4" t="n">
        <v>0</v>
      </c>
      <c r="AO75" s="4" t="n">
        <v>0</v>
      </c>
      <c r="AP75" s="4" t="n"/>
      <c r="AQ75" s="4" t="n"/>
      <c r="AR75" s="4" t="n"/>
      <c r="AS75" s="4" t="n"/>
    </row>
    <row r="76">
      <c r="A76" s="7" t="inlineStr">
        <is>
          <t>218143352</t>
        </is>
      </c>
      <c r="B76" s="11" t="inlineStr">
        <is>
          <t>וקנין ינון אליה</t>
        </is>
      </c>
      <c r="C76" s="7" t="inlineStr">
        <is>
          <t>יא'6</t>
        </is>
      </c>
      <c r="D76" s="4" t="n"/>
      <c r="E76" s="4" t="n"/>
      <c r="F76" s="4" t="n"/>
      <c r="G76" s="4" t="n"/>
      <c r="H76" s="4" t="n"/>
      <c r="I76" s="4" t="n"/>
      <c r="J76" s="4" t="n"/>
      <c r="K76" s="7">
        <f>MAX(IF(AND(D76&lt;&gt;"",E76&lt;&gt;"",F76&lt;&gt;""),D76*0.25+E76*0.35+F76*0.40,0),IF(AND(G76&lt;&gt;"",H76&lt;&gt;""),G76*0.65+H76*0.35,0),IF(AND(I76&lt;&gt;"",J76&lt;&gt;""),I76*0.60+J76*0.40,0))</f>
        <v/>
      </c>
      <c r="L76" s="4" t="n">
        <v>79</v>
      </c>
      <c r="M76" s="4" t="n">
        <v>84</v>
      </c>
      <c r="N76" s="7">
        <f>IF(L76="","",L76*0.70+IF(M76="",0,M76)*0.30)</f>
        <v/>
      </c>
      <c r="O76" s="4" t="n"/>
      <c r="P76" s="4" t="n">
        <v>90</v>
      </c>
      <c r="Q76" s="4" t="n">
        <v>100</v>
      </c>
      <c r="R76" s="7">
        <f>IF(P76="","",IF(O76="",0,O76)*0.35+P76*0.35+IF(Q76="",0,Q76)*0.30)</f>
        <v/>
      </c>
      <c r="S76" s="4" t="n"/>
      <c r="T76" s="4" t="n">
        <v>77</v>
      </c>
      <c r="U76" s="4" t="n"/>
      <c r="V76" s="7">
        <f>IF(T76="","",IF(S76="",0,S76)*0.35+T76*0.35+IF(U76="",0,U76)*0.30)</f>
        <v/>
      </c>
      <c r="W76" s="4" t="n"/>
      <c r="X76" s="4" t="n"/>
      <c r="Y76" s="4" t="n"/>
      <c r="Z76" s="7">
        <f>IF(X76="","",IF(W76="",0,W76)*0.35+X76*0.35+IF(Y76="",0,Y76)*0.30)</f>
        <v/>
      </c>
      <c r="AA76" s="4" t="n"/>
      <c r="AB76" s="4" t="n"/>
      <c r="AC76" s="4" t="n"/>
      <c r="AD76" s="7">
        <f>IF(AB76="","",IF(AA76="",0,AA76)*0.35+AB76*0.35+IF(AC76="",0,AC76)*0.30)</f>
        <v/>
      </c>
      <c r="AE76" s="4" t="n"/>
      <c r="AF76" s="4" t="n"/>
      <c r="AG76" s="4" t="n"/>
      <c r="AH76" s="4" t="n"/>
      <c r="AI76" s="4" t="n"/>
      <c r="AJ76" s="4" t="n"/>
      <c r="AK76" s="4" t="n"/>
      <c r="AL76" s="4" t="n"/>
      <c r="AM76" s="7" t="n">
        <v>0</v>
      </c>
      <c r="AN76" s="4" t="n">
        <v>0</v>
      </c>
      <c r="AO76" s="4" t="n">
        <v>0</v>
      </c>
      <c r="AP76" s="4" t="n"/>
      <c r="AQ76" s="4" t="n"/>
      <c r="AR76" s="4" t="n"/>
      <c r="AS76" s="4" t="n"/>
    </row>
    <row r="77">
      <c r="A77" s="7" t="inlineStr">
        <is>
          <t>333591568</t>
        </is>
      </c>
      <c r="B77" s="11" t="inlineStr">
        <is>
          <t>יעקבי אלה</t>
        </is>
      </c>
      <c r="C77" s="7" t="inlineStr">
        <is>
          <t>יא'6</t>
        </is>
      </c>
      <c r="D77" s="4" t="n"/>
      <c r="E77" s="4" t="n"/>
      <c r="F77" s="4" t="n"/>
      <c r="G77" s="4" t="n"/>
      <c r="H77" s="4" t="n"/>
      <c r="I77" s="4" t="n"/>
      <c r="J77" s="4" t="n"/>
      <c r="K77" s="7">
        <f>MAX(IF(AND(D77&lt;&gt;"",E77&lt;&gt;"",F77&lt;&gt;""),D77*0.25+E77*0.35+F77*0.40,0),IF(AND(G77&lt;&gt;"",H77&lt;&gt;""),G77*0.65+H77*0.35,0),IF(AND(I77&lt;&gt;"",J77&lt;&gt;""),I77*0.60+J77*0.40,0))</f>
        <v/>
      </c>
      <c r="L77" s="4" t="n">
        <v>91</v>
      </c>
      <c r="M77" s="4" t="n">
        <v>90</v>
      </c>
      <c r="N77" s="7">
        <f>IF(L77="","",L77*0.70+IF(M77="",0,M77)*0.30)</f>
        <v/>
      </c>
      <c r="O77" s="4" t="n"/>
      <c r="P77" s="4" t="n">
        <v>100</v>
      </c>
      <c r="Q77" s="4" t="n">
        <v>100</v>
      </c>
      <c r="R77" s="7">
        <f>IF(P77="","",IF(O77="",0,O77)*0.35+P77*0.35+IF(Q77="",0,Q77)*0.30)</f>
        <v/>
      </c>
      <c r="S77" s="4" t="n"/>
      <c r="T77" s="4" t="n">
        <v>85</v>
      </c>
      <c r="U77" s="4" t="n"/>
      <c r="V77" s="7">
        <f>IF(T77="","",IF(S77="",0,S77)*0.35+T77*0.35+IF(U77="",0,U77)*0.30)</f>
        <v/>
      </c>
      <c r="W77" s="4" t="n"/>
      <c r="X77" s="4" t="n"/>
      <c r="Y77" s="4" t="n"/>
      <c r="Z77" s="7">
        <f>IF(X77="","",IF(W77="",0,W77)*0.35+X77*0.35+IF(Y77="",0,Y77)*0.30)</f>
        <v/>
      </c>
      <c r="AA77" s="4" t="n"/>
      <c r="AB77" s="4" t="n"/>
      <c r="AC77" s="4" t="n"/>
      <c r="AD77" s="7">
        <f>IF(AB77="","",IF(AA77="",0,AA77)*0.35+AB77*0.35+IF(AC77="",0,AC77)*0.30)</f>
        <v/>
      </c>
      <c r="AE77" s="4" t="n"/>
      <c r="AF77" s="4" t="n"/>
      <c r="AG77" s="4" t="n"/>
      <c r="AH77" s="4" t="n"/>
      <c r="AI77" s="4" t="n"/>
      <c r="AJ77" s="4" t="n"/>
      <c r="AK77" s="4" t="n"/>
      <c r="AL77" s="4" t="n"/>
      <c r="AM77" s="7" t="n">
        <v>0</v>
      </c>
      <c r="AN77" s="4" t="n">
        <v>0</v>
      </c>
      <c r="AO77" s="4" t="n">
        <v>0</v>
      </c>
      <c r="AP77" s="4" t="n"/>
      <c r="AQ77" s="4" t="n"/>
      <c r="AR77" s="4" t="n"/>
      <c r="AS77" s="4" t="n"/>
    </row>
    <row r="78">
      <c r="A78" s="7" t="inlineStr">
        <is>
          <t>333689735</t>
        </is>
      </c>
      <c r="B78" s="11" t="inlineStr">
        <is>
          <t>יצחקי תהל</t>
        </is>
      </c>
      <c r="C78" s="7" t="inlineStr">
        <is>
          <t>יא'6</t>
        </is>
      </c>
      <c r="D78" s="4" t="n"/>
      <c r="E78" s="4" t="n"/>
      <c r="F78" s="4" t="n"/>
      <c r="G78" s="4" t="n"/>
      <c r="H78" s="4" t="n"/>
      <c r="I78" s="4" t="n"/>
      <c r="J78" s="4" t="n"/>
      <c r="K78" s="7">
        <f>MAX(IF(AND(D78&lt;&gt;"",E78&lt;&gt;"",F78&lt;&gt;""),D78*0.25+E78*0.35+F78*0.40,0),IF(AND(G78&lt;&gt;"",H78&lt;&gt;""),G78*0.65+H78*0.35,0),IF(AND(I78&lt;&gt;"",J78&lt;&gt;""),I78*0.60+J78*0.40,0))</f>
        <v/>
      </c>
      <c r="L78" s="4" t="n">
        <v>60</v>
      </c>
      <c r="M78" s="4" t="n">
        <v>69</v>
      </c>
      <c r="N78" s="7">
        <f>IF(L78="","",L78*0.70+IF(M78="",0,M78)*0.30)</f>
        <v/>
      </c>
      <c r="O78" s="4" t="n"/>
      <c r="P78" s="4" t="n">
        <v>65</v>
      </c>
      <c r="Q78" s="4" t="n">
        <v>90</v>
      </c>
      <c r="R78" s="7">
        <f>IF(P78="","",IF(O78="",0,O78)*0.35+P78*0.35+IF(Q78="",0,Q78)*0.30)</f>
        <v/>
      </c>
      <c r="S78" s="4" t="n"/>
      <c r="T78" s="4" t="n">
        <v>39</v>
      </c>
      <c r="U78" s="4" t="n"/>
      <c r="V78" s="7">
        <f>IF(T78="","",IF(S78="",0,S78)*0.35+T78*0.35+IF(U78="",0,U78)*0.30)</f>
        <v/>
      </c>
      <c r="W78" s="4" t="n"/>
      <c r="X78" s="4" t="n"/>
      <c r="Y78" s="4" t="n"/>
      <c r="Z78" s="7">
        <f>IF(X78="","",IF(W78="",0,W78)*0.35+X78*0.35+IF(Y78="",0,Y78)*0.30)</f>
        <v/>
      </c>
      <c r="AA78" s="4" t="n"/>
      <c r="AB78" s="4" t="n"/>
      <c r="AC78" s="4" t="n"/>
      <c r="AD78" s="7">
        <f>IF(AB78="","",IF(AA78="",0,AA78)*0.35+AB78*0.35+IF(AC78="",0,AC78)*0.30)</f>
        <v/>
      </c>
      <c r="AE78" s="4" t="n"/>
      <c r="AF78" s="4" t="n"/>
      <c r="AG78" s="4" t="n"/>
      <c r="AH78" s="4" t="n"/>
      <c r="AI78" s="4" t="n"/>
      <c r="AJ78" s="4" t="n"/>
      <c r="AK78" s="4" t="n"/>
      <c r="AL78" s="4" t="n"/>
      <c r="AM78" s="7" t="n">
        <v>0</v>
      </c>
      <c r="AN78" s="4" t="n">
        <v>0</v>
      </c>
      <c r="AO78" s="4" t="n">
        <v>0</v>
      </c>
      <c r="AP78" s="4" t="n"/>
      <c r="AQ78" s="4" t="n"/>
      <c r="AR78" s="4" t="n"/>
      <c r="AS78" s="4" t="n"/>
    </row>
    <row r="79">
      <c r="A79" s="7" t="inlineStr">
        <is>
          <t>218533115</t>
        </is>
      </c>
      <c r="B79" s="11" t="inlineStr">
        <is>
          <t>כהן ליעד</t>
        </is>
      </c>
      <c r="C79" s="7" t="inlineStr">
        <is>
          <t>יא'6</t>
        </is>
      </c>
      <c r="D79" s="4" t="n"/>
      <c r="E79" s="4" t="n"/>
      <c r="F79" s="4" t="n"/>
      <c r="G79" s="4" t="n"/>
      <c r="H79" s="4" t="n"/>
      <c r="I79" s="4" t="n"/>
      <c r="J79" s="4" t="n"/>
      <c r="K79" s="7">
        <f>MAX(IF(AND(D79&lt;&gt;"",E79&lt;&gt;"",F79&lt;&gt;""),D79*0.25+E79*0.35+F79*0.40,0),IF(AND(G79&lt;&gt;"",H79&lt;&gt;""),G79*0.65+H79*0.35,0),IF(AND(I79&lt;&gt;"",J79&lt;&gt;""),I79*0.60+J79*0.40,0))</f>
        <v/>
      </c>
      <c r="L79" s="4" t="n">
        <v>77</v>
      </c>
      <c r="M79" s="4" t="n">
        <v>92</v>
      </c>
      <c r="N79" s="7">
        <f>IF(L79="","",L79*0.70+IF(M79="",0,M79)*0.30)</f>
        <v/>
      </c>
      <c r="O79" s="4" t="n"/>
      <c r="P79" s="4" t="n">
        <v>95</v>
      </c>
      <c r="Q79" s="4" t="n">
        <v>100</v>
      </c>
      <c r="R79" s="7">
        <f>IF(P79="","",IF(O79="",0,O79)*0.35+P79*0.35+IF(Q79="",0,Q79)*0.30)</f>
        <v/>
      </c>
      <c r="S79" s="4" t="n"/>
      <c r="T79" s="4" t="n">
        <v>82</v>
      </c>
      <c r="U79" s="4" t="n"/>
      <c r="V79" s="7">
        <f>IF(T79="","",IF(S79="",0,S79)*0.35+T79*0.35+IF(U79="",0,U79)*0.30)</f>
        <v/>
      </c>
      <c r="W79" s="4" t="n"/>
      <c r="X79" s="4" t="n"/>
      <c r="Y79" s="4" t="n"/>
      <c r="Z79" s="7">
        <f>IF(X79="","",IF(W79="",0,W79)*0.35+X79*0.35+IF(Y79="",0,Y79)*0.30)</f>
        <v/>
      </c>
      <c r="AA79" s="4" t="n"/>
      <c r="AB79" s="4" t="n"/>
      <c r="AC79" s="4" t="n"/>
      <c r="AD79" s="7">
        <f>IF(AB79="","",IF(AA79="",0,AA79)*0.35+AB79*0.35+IF(AC79="",0,AC79)*0.30)</f>
        <v/>
      </c>
      <c r="AE79" s="4" t="n"/>
      <c r="AF79" s="4" t="n"/>
      <c r="AG79" s="4" t="n"/>
      <c r="AH79" s="4" t="n"/>
      <c r="AI79" s="4" t="n"/>
      <c r="AJ79" s="4" t="n"/>
      <c r="AK79" s="4" t="n"/>
      <c r="AL79" s="4" t="n"/>
      <c r="AM79" s="7" t="n">
        <v>0</v>
      </c>
      <c r="AN79" s="4" t="n">
        <v>0</v>
      </c>
      <c r="AO79" s="4" t="n">
        <v>0</v>
      </c>
      <c r="AP79" s="4" t="n"/>
      <c r="AQ79" s="4" t="n"/>
      <c r="AR79" s="4" t="n"/>
      <c r="AS79" s="4" t="n"/>
    </row>
    <row r="80">
      <c r="A80" s="7" t="inlineStr"/>
      <c r="B80" s="11" t="inlineStr">
        <is>
          <t>לזרוביץ ביטו דור</t>
        </is>
      </c>
      <c r="C80" s="7" t="inlineStr">
        <is>
          <t>יא'6</t>
        </is>
      </c>
      <c r="D80" s="8" t="n"/>
      <c r="E80" s="8" t="n"/>
      <c r="F80" s="8" t="n"/>
      <c r="G80" s="8" t="n"/>
      <c r="H80" s="8" t="n"/>
      <c r="I80" s="8" t="n"/>
      <c r="J80" s="8" t="n"/>
      <c r="K80" s="7">
        <f>MAX(IF(AND(D80&lt;&gt;"",E80&lt;&gt;"",F80&lt;&gt;""),D80*0.25+E80*0.35+F80*0.40,0),IF(AND(G80&lt;&gt;"",H80&lt;&gt;""),G80*0.65+H80*0.35,0),IF(AND(I80&lt;&gt;"",J80&lt;&gt;""),I80*0.60+J80*0.40,0))</f>
        <v/>
      </c>
      <c r="L80" s="8" t="n"/>
      <c r="M80" s="8" t="n"/>
      <c r="N80" s="7">
        <f>IF(L80="","",L80*0.70+IF(M80="",0,M80)*0.30)</f>
        <v/>
      </c>
      <c r="O80" s="8" t="n"/>
      <c r="P80" s="8" t="n"/>
      <c r="Q80" s="8" t="n"/>
      <c r="R80" s="7">
        <f>IF(P80="","",IF(O80="",0,O80)*0.35+P80*0.35+IF(Q80="",0,Q80)*0.30)</f>
        <v/>
      </c>
      <c r="S80" s="8" t="n"/>
      <c r="T80" s="8" t="n"/>
      <c r="U80" s="8" t="n"/>
      <c r="V80" s="7">
        <f>IF(T80="","",IF(S80="",0,S80)*0.35+T80*0.35+IF(U80="",0,U80)*0.30)</f>
        <v/>
      </c>
      <c r="W80" s="8" t="n"/>
      <c r="X80" s="8" t="n"/>
      <c r="Y80" s="8" t="n"/>
      <c r="Z80" s="7">
        <f>IF(X80="","",IF(W80="",0,W80)*0.35+X80*0.35+IF(Y80="",0,Y80)*0.30)</f>
        <v/>
      </c>
      <c r="AA80" s="8" t="n"/>
      <c r="AB80" s="8" t="n"/>
      <c r="AC80" s="8" t="n"/>
      <c r="AD80" s="7">
        <f>IF(AB80="","",IF(AA80="",0,AA80)*0.35+AB80*0.35+IF(AC80="",0,AC80)*0.30)</f>
        <v/>
      </c>
      <c r="AE80" s="8" t="n"/>
      <c r="AF80" s="8" t="n"/>
      <c r="AG80" s="8" t="n"/>
      <c r="AH80" s="8" t="n"/>
      <c r="AI80" s="8" t="n"/>
      <c r="AJ80" s="8" t="n"/>
      <c r="AK80" s="8" t="n"/>
      <c r="AL80" s="8" t="n"/>
      <c r="AM80" s="7" t="n">
        <v>0</v>
      </c>
      <c r="AN80" s="8" t="n">
        <v>0</v>
      </c>
      <c r="AO80" s="8" t="n">
        <v>0</v>
      </c>
      <c r="AP80" s="8" t="n"/>
      <c r="AQ80" s="8" t="n"/>
      <c r="AR80" s="8" t="n"/>
      <c r="AS80" s="8" t="n"/>
    </row>
    <row r="81">
      <c r="A81" s="7" t="inlineStr">
        <is>
          <t>218865681</t>
        </is>
      </c>
      <c r="B81" s="11" t="inlineStr">
        <is>
          <t>משין מישל</t>
        </is>
      </c>
      <c r="C81" s="7" t="inlineStr">
        <is>
          <t>יא'6</t>
        </is>
      </c>
      <c r="D81" s="4" t="n"/>
      <c r="E81" s="4" t="n"/>
      <c r="F81" s="4" t="n"/>
      <c r="G81" s="4" t="n"/>
      <c r="H81" s="4" t="n"/>
      <c r="I81" s="4" t="n"/>
      <c r="J81" s="4" t="n"/>
      <c r="K81" s="7">
        <f>MAX(IF(AND(D81&lt;&gt;"",E81&lt;&gt;"",F81&lt;&gt;""),D81*0.25+E81*0.35+F81*0.40,0),IF(AND(G81&lt;&gt;"",H81&lt;&gt;""),G81*0.65+H81*0.35,0),IF(AND(I81&lt;&gt;"",J81&lt;&gt;""),I81*0.60+J81*0.40,0))</f>
        <v/>
      </c>
      <c r="L81" s="4" t="n">
        <v>58</v>
      </c>
      <c r="M81" s="4" t="n">
        <v>88</v>
      </c>
      <c r="N81" s="7">
        <f>IF(L81="","",L81*0.70+IF(M81="",0,M81)*0.30)</f>
        <v/>
      </c>
      <c r="O81" s="4" t="n"/>
      <c r="P81" s="4" t="n">
        <v>70</v>
      </c>
      <c r="Q81" s="4" t="n">
        <v>100</v>
      </c>
      <c r="R81" s="7">
        <f>IF(P81="","",IF(O81="",0,O81)*0.35+P81*0.35+IF(Q81="",0,Q81)*0.30)</f>
        <v/>
      </c>
      <c r="S81" s="4" t="n"/>
      <c r="T81" s="4" t="n">
        <v>42</v>
      </c>
      <c r="U81" s="4" t="n"/>
      <c r="V81" s="7">
        <f>IF(T81="","",IF(S81="",0,S81)*0.35+T81*0.35+IF(U81="",0,U81)*0.30)</f>
        <v/>
      </c>
      <c r="W81" s="4" t="n"/>
      <c r="X81" s="4" t="n"/>
      <c r="Y81" s="4" t="n"/>
      <c r="Z81" s="7">
        <f>IF(X81="","",IF(W81="",0,W81)*0.35+X81*0.35+IF(Y81="",0,Y81)*0.30)</f>
        <v/>
      </c>
      <c r="AA81" s="4" t="n"/>
      <c r="AB81" s="4" t="n"/>
      <c r="AC81" s="4" t="n"/>
      <c r="AD81" s="7">
        <f>IF(AB81="","",IF(AA81="",0,AA81)*0.35+AB81*0.35+IF(AC81="",0,AC81)*0.30)</f>
        <v/>
      </c>
      <c r="AE81" s="4" t="n"/>
      <c r="AF81" s="4" t="n"/>
      <c r="AG81" s="4" t="n"/>
      <c r="AH81" s="4" t="n"/>
      <c r="AI81" s="4" t="n"/>
      <c r="AJ81" s="4" t="n"/>
      <c r="AK81" s="4" t="n"/>
      <c r="AL81" s="4" t="n"/>
      <c r="AM81" s="7" t="n">
        <v>0</v>
      </c>
      <c r="AN81" s="4" t="n">
        <v>0</v>
      </c>
      <c r="AO81" s="4" t="n">
        <v>0</v>
      </c>
      <c r="AP81" s="4" t="n"/>
      <c r="AQ81" s="4" t="n"/>
      <c r="AR81" s="4" t="n"/>
      <c r="AS81" s="4" t="n"/>
    </row>
    <row r="82">
      <c r="A82" s="7" t="inlineStr">
        <is>
          <t>333615045</t>
        </is>
      </c>
      <c r="B82" s="11" t="inlineStr">
        <is>
          <t>סבאג יהלי אליס</t>
        </is>
      </c>
      <c r="C82" s="7" t="inlineStr">
        <is>
          <t>יא'6</t>
        </is>
      </c>
      <c r="D82" s="4" t="n"/>
      <c r="E82" s="4" t="n"/>
      <c r="F82" s="4" t="n"/>
      <c r="G82" s="4" t="n"/>
      <c r="H82" s="4" t="n"/>
      <c r="I82" s="4" t="n"/>
      <c r="J82" s="4" t="n"/>
      <c r="K82" s="7">
        <f>MAX(IF(AND(D82&lt;&gt;"",E82&lt;&gt;"",F82&lt;&gt;""),D82*0.25+E82*0.35+F82*0.40,0),IF(AND(G82&lt;&gt;"",H82&lt;&gt;""),G82*0.65+H82*0.35,0),IF(AND(I82&lt;&gt;"",J82&lt;&gt;""),I82*0.60+J82*0.40,0))</f>
        <v/>
      </c>
      <c r="L82" s="4" t="n">
        <v>78</v>
      </c>
      <c r="M82" s="4" t="n">
        <v>92</v>
      </c>
      <c r="N82" s="7">
        <f>IF(L82="","",L82*0.70+IF(M82="",0,M82)*0.30)</f>
        <v/>
      </c>
      <c r="O82" s="4" t="n"/>
      <c r="P82" s="4" t="n">
        <v>90</v>
      </c>
      <c r="Q82" s="4" t="n">
        <v>100</v>
      </c>
      <c r="R82" s="7">
        <f>IF(P82="","",IF(O82="",0,O82)*0.35+P82*0.35+IF(Q82="",0,Q82)*0.30)</f>
        <v/>
      </c>
      <c r="S82" s="4" t="n"/>
      <c r="T82" s="4" t="n">
        <v>66</v>
      </c>
      <c r="U82" s="4" t="n"/>
      <c r="V82" s="7">
        <f>IF(T82="","",IF(S82="",0,S82)*0.35+T82*0.35+IF(U82="",0,U82)*0.30)</f>
        <v/>
      </c>
      <c r="W82" s="4" t="n"/>
      <c r="X82" s="4" t="n"/>
      <c r="Y82" s="4" t="n"/>
      <c r="Z82" s="7">
        <f>IF(X82="","",IF(W82="",0,W82)*0.35+X82*0.35+IF(Y82="",0,Y82)*0.30)</f>
        <v/>
      </c>
      <c r="AA82" s="4" t="n"/>
      <c r="AB82" s="4" t="n"/>
      <c r="AC82" s="4" t="n"/>
      <c r="AD82" s="7">
        <f>IF(AB82="","",IF(AA82="",0,AA82)*0.35+AB82*0.35+IF(AC82="",0,AC82)*0.30)</f>
        <v/>
      </c>
      <c r="AE82" s="4" t="n"/>
      <c r="AF82" s="4" t="n"/>
      <c r="AG82" s="4" t="n"/>
      <c r="AH82" s="4" t="n"/>
      <c r="AI82" s="4" t="n"/>
      <c r="AJ82" s="4" t="n"/>
      <c r="AK82" s="4" t="n"/>
      <c r="AL82" s="4" t="n"/>
      <c r="AM82" s="7" t="n">
        <v>0</v>
      </c>
      <c r="AN82" s="4" t="n">
        <v>0</v>
      </c>
      <c r="AO82" s="4" t="n">
        <v>0</v>
      </c>
      <c r="AP82" s="4" t="n"/>
      <c r="AQ82" s="4" t="n"/>
      <c r="AR82" s="4" t="n"/>
      <c r="AS82" s="4" t="n"/>
    </row>
    <row r="83">
      <c r="A83" s="7" t="inlineStr">
        <is>
          <t>337761845</t>
        </is>
      </c>
      <c r="B83" s="11" t="inlineStr">
        <is>
          <t>סבוסקין ורוניקה</t>
        </is>
      </c>
      <c r="C83" s="7" t="inlineStr">
        <is>
          <t>יא'6</t>
        </is>
      </c>
      <c r="D83" s="4" t="n">
        <v>100</v>
      </c>
      <c r="E83" s="4" t="n"/>
      <c r="F83" s="4" t="n"/>
      <c r="G83" s="4" t="n"/>
      <c r="H83" s="4" t="n"/>
      <c r="I83" s="4" t="n"/>
      <c r="J83" s="4" t="n"/>
      <c r="K83" s="7">
        <f>MAX(IF(AND(D83&lt;&gt;"",E83&lt;&gt;"",F83&lt;&gt;""),D83*0.25+E83*0.35+F83*0.40,0),IF(AND(G83&lt;&gt;"",H83&lt;&gt;""),G83*0.65+H83*0.35,0),IF(AND(I83&lt;&gt;"",J83&lt;&gt;""),I83*0.60+J83*0.40,0))</f>
        <v/>
      </c>
      <c r="L83" s="4" t="n">
        <v>51</v>
      </c>
      <c r="M83" s="4" t="n">
        <v>57</v>
      </c>
      <c r="N83" s="7">
        <f>IF(L83="","",L83*0.70+IF(M83="",0,M83)*0.30)</f>
        <v/>
      </c>
      <c r="O83" s="4" t="n"/>
      <c r="P83" s="4" t="n">
        <v>70</v>
      </c>
      <c r="Q83" s="4" t="n">
        <v>95</v>
      </c>
      <c r="R83" s="7">
        <f>IF(P83="","",IF(O83="",0,O83)*0.35+P83*0.35+IF(Q83="",0,Q83)*0.30)</f>
        <v/>
      </c>
      <c r="S83" s="4" t="n"/>
      <c r="T83" s="4" t="n">
        <v>37</v>
      </c>
      <c r="U83" s="4" t="n"/>
      <c r="V83" s="7">
        <f>IF(T83="","",IF(S83="",0,S83)*0.35+T83*0.35+IF(U83="",0,U83)*0.30)</f>
        <v/>
      </c>
      <c r="W83" s="4" t="n"/>
      <c r="X83" s="4" t="n"/>
      <c r="Y83" s="4" t="n"/>
      <c r="Z83" s="7">
        <f>IF(X83="","",IF(W83="",0,W83)*0.35+X83*0.35+IF(Y83="",0,Y83)*0.30)</f>
        <v/>
      </c>
      <c r="AA83" s="4" t="n"/>
      <c r="AB83" s="4" t="n"/>
      <c r="AC83" s="4" t="n"/>
      <c r="AD83" s="7">
        <f>IF(AB83="","",IF(AA83="",0,AA83)*0.35+AB83*0.35+IF(AC83="",0,AC83)*0.30)</f>
        <v/>
      </c>
      <c r="AE83" s="4" t="n"/>
      <c r="AF83" s="4" t="n"/>
      <c r="AG83" s="4" t="n"/>
      <c r="AH83" s="4" t="n"/>
      <c r="AI83" s="4" t="n"/>
      <c r="AJ83" s="4" t="n"/>
      <c r="AK83" s="4" t="n"/>
      <c r="AL83" s="4" t="n"/>
      <c r="AM83" s="7" t="n">
        <v>0</v>
      </c>
      <c r="AN83" s="4" t="n">
        <v>0</v>
      </c>
      <c r="AO83" s="4" t="n">
        <v>0</v>
      </c>
      <c r="AP83" s="4" t="n"/>
      <c r="AQ83" s="4" t="n"/>
      <c r="AR83" s="4" t="n"/>
      <c r="AS83" s="4" t="n"/>
    </row>
    <row r="84">
      <c r="A84" s="7" t="inlineStr">
        <is>
          <t>217869049</t>
        </is>
      </c>
      <c r="B84" s="11" t="inlineStr">
        <is>
          <t>קגן מאריאל</t>
        </is>
      </c>
      <c r="C84" s="7" t="inlineStr">
        <is>
          <t>יא'6</t>
        </is>
      </c>
      <c r="D84" s="4" t="n"/>
      <c r="E84" s="4" t="n"/>
      <c r="F84" s="4" t="n"/>
      <c r="G84" s="4" t="n"/>
      <c r="H84" s="4" t="n"/>
      <c r="I84" s="4" t="n"/>
      <c r="J84" s="4" t="n"/>
      <c r="K84" s="7">
        <f>MAX(IF(AND(D84&lt;&gt;"",E84&lt;&gt;"",F84&lt;&gt;""),D84*0.25+E84*0.35+F84*0.40,0),IF(AND(G84&lt;&gt;"",H84&lt;&gt;""),G84*0.65+H84*0.35,0),IF(AND(I84&lt;&gt;"",J84&lt;&gt;""),I84*0.60+J84*0.40,0))</f>
        <v/>
      </c>
      <c r="L84" s="4" t="n">
        <v>78</v>
      </c>
      <c r="M84" s="4" t="n"/>
      <c r="N84" s="7">
        <f>IF(L84="","",L84*0.70+IF(M84="",0,M84)*0.30)</f>
        <v/>
      </c>
      <c r="O84" s="4" t="n"/>
      <c r="P84" s="4" t="n">
        <v>60</v>
      </c>
      <c r="Q84" s="4" t="n">
        <v>90</v>
      </c>
      <c r="R84" s="7">
        <f>IF(P84="","",IF(O84="",0,O84)*0.35+P84*0.35+IF(Q84="",0,Q84)*0.30)</f>
        <v/>
      </c>
      <c r="S84" s="4" t="n"/>
      <c r="T84" s="4" t="n">
        <v>50</v>
      </c>
      <c r="U84" s="4" t="n"/>
      <c r="V84" s="7">
        <f>IF(T84="","",IF(S84="",0,S84)*0.35+T84*0.35+IF(U84="",0,U84)*0.30)</f>
        <v/>
      </c>
      <c r="W84" s="4" t="n"/>
      <c r="X84" s="4" t="n"/>
      <c r="Y84" s="4" t="n"/>
      <c r="Z84" s="7">
        <f>IF(X84="","",IF(W84="",0,W84)*0.35+X84*0.35+IF(Y84="",0,Y84)*0.30)</f>
        <v/>
      </c>
      <c r="AA84" s="4" t="n"/>
      <c r="AB84" s="4" t="n"/>
      <c r="AC84" s="4" t="n"/>
      <c r="AD84" s="7">
        <f>IF(AB84="","",IF(AA84="",0,AA84)*0.35+AB84*0.35+IF(AC84="",0,AC84)*0.30)</f>
        <v/>
      </c>
      <c r="AE84" s="4" t="n"/>
      <c r="AF84" s="4" t="n"/>
      <c r="AG84" s="4" t="n"/>
      <c r="AH84" s="4" t="n"/>
      <c r="AI84" s="4" t="n"/>
      <c r="AJ84" s="4" t="n"/>
      <c r="AK84" s="4" t="n"/>
      <c r="AL84" s="4" t="n"/>
      <c r="AM84" s="7" t="n">
        <v>0</v>
      </c>
      <c r="AN84" s="4" t="n">
        <v>0</v>
      </c>
      <c r="AO84" s="4" t="n">
        <v>0</v>
      </c>
      <c r="AP84" s="4" t="n"/>
      <c r="AQ84" s="4" t="n"/>
      <c r="AR84" s="4" t="n"/>
      <c r="AS84" s="4" t="n"/>
    </row>
    <row r="85">
      <c r="A85" s="7" t="inlineStr">
        <is>
          <t>332145028</t>
        </is>
      </c>
      <c r="B85" s="11" t="inlineStr">
        <is>
          <t>קולט מאי</t>
        </is>
      </c>
      <c r="C85" s="7" t="inlineStr">
        <is>
          <t>יא'6</t>
        </is>
      </c>
      <c r="D85" s="4" t="n">
        <v>100</v>
      </c>
      <c r="E85" s="4" t="n"/>
      <c r="F85" s="4" t="n"/>
      <c r="G85" s="4" t="n"/>
      <c r="H85" s="4" t="n"/>
      <c r="I85" s="4" t="n"/>
      <c r="J85" s="4" t="n"/>
      <c r="K85" s="7">
        <f>MAX(IF(AND(D85&lt;&gt;"",E85&lt;&gt;"",F85&lt;&gt;""),D85*0.25+E85*0.35+F85*0.40,0),IF(AND(G85&lt;&gt;"",H85&lt;&gt;""),G85*0.65+H85*0.35,0),IF(AND(I85&lt;&gt;"",J85&lt;&gt;""),I85*0.60+J85*0.40,0))</f>
        <v/>
      </c>
      <c r="L85" s="4" t="n">
        <v>72</v>
      </c>
      <c r="M85" s="4" t="n">
        <v>87</v>
      </c>
      <c r="N85" s="7">
        <f>IF(L85="","",L85*0.70+IF(M85="",0,M85)*0.30)</f>
        <v/>
      </c>
      <c r="O85" s="4" t="n"/>
      <c r="P85" s="4" t="n">
        <v>90</v>
      </c>
      <c r="Q85" s="4" t="n">
        <v>100</v>
      </c>
      <c r="R85" s="7">
        <f>IF(P85="","",IF(O85="",0,O85)*0.35+P85*0.35+IF(Q85="",0,Q85)*0.30)</f>
        <v/>
      </c>
      <c r="S85" s="4" t="n"/>
      <c r="T85" s="4" t="n">
        <v>62</v>
      </c>
      <c r="U85" s="4" t="n"/>
      <c r="V85" s="7">
        <f>IF(T85="","",IF(S85="",0,S85)*0.35+T85*0.35+IF(U85="",0,U85)*0.30)</f>
        <v/>
      </c>
      <c r="W85" s="4" t="n"/>
      <c r="X85" s="4" t="n"/>
      <c r="Y85" s="4" t="n"/>
      <c r="Z85" s="7">
        <f>IF(X85="","",IF(W85="",0,W85)*0.35+X85*0.35+IF(Y85="",0,Y85)*0.30)</f>
        <v/>
      </c>
      <c r="AA85" s="4" t="n"/>
      <c r="AB85" s="4" t="n"/>
      <c r="AC85" s="4" t="n"/>
      <c r="AD85" s="7">
        <f>IF(AB85="","",IF(AA85="",0,AA85)*0.35+AB85*0.35+IF(AC85="",0,AC85)*0.30)</f>
        <v/>
      </c>
      <c r="AE85" s="4" t="n"/>
      <c r="AF85" s="4" t="n"/>
      <c r="AG85" s="4" t="n"/>
      <c r="AH85" s="4" t="n"/>
      <c r="AI85" s="4" t="n"/>
      <c r="AJ85" s="4" t="n"/>
      <c r="AK85" s="4" t="n"/>
      <c r="AL85" s="4" t="n"/>
      <c r="AM85" s="7" t="n">
        <v>0</v>
      </c>
      <c r="AN85" s="4" t="n">
        <v>0</v>
      </c>
      <c r="AO85" s="4" t="n">
        <v>0</v>
      </c>
      <c r="AP85" s="4" t="n"/>
      <c r="AQ85" s="4" t="n"/>
      <c r="AR85" s="4" t="n"/>
      <c r="AS85" s="4" t="n"/>
    </row>
    <row r="86">
      <c r="A86" s="7" t="inlineStr">
        <is>
          <t>218673648</t>
        </is>
      </c>
      <c r="B86" s="11" t="inlineStr">
        <is>
          <t>רביד יואב</t>
        </is>
      </c>
      <c r="C86" s="7" t="inlineStr">
        <is>
          <t>יא'6</t>
        </is>
      </c>
      <c r="D86" s="4" t="n"/>
      <c r="E86" s="4" t="n"/>
      <c r="F86" s="4" t="n"/>
      <c r="G86" s="4" t="n"/>
      <c r="H86" s="4" t="n"/>
      <c r="I86" s="4" t="n"/>
      <c r="J86" s="4" t="n"/>
      <c r="K86" s="7">
        <f>MAX(IF(AND(D86&lt;&gt;"",E86&lt;&gt;"",F86&lt;&gt;""),D86*0.25+E86*0.35+F86*0.40,0),IF(AND(G86&lt;&gt;"",H86&lt;&gt;""),G86*0.65+H86*0.35,0),IF(AND(I86&lt;&gt;"",J86&lt;&gt;""),I86*0.60+J86*0.40,0))</f>
        <v/>
      </c>
      <c r="L86" s="4" t="n">
        <v>78</v>
      </c>
      <c r="M86" s="4" t="n">
        <v>76</v>
      </c>
      <c r="N86" s="7">
        <f>IF(L86="","",L86*0.70+IF(M86="",0,M86)*0.30)</f>
        <v/>
      </c>
      <c r="O86" s="4" t="n"/>
      <c r="P86" s="4" t="n">
        <v>95</v>
      </c>
      <c r="Q86" s="4" t="n">
        <v>100</v>
      </c>
      <c r="R86" s="7">
        <f>IF(P86="","",IF(O86="",0,O86)*0.35+P86*0.35+IF(Q86="",0,Q86)*0.30)</f>
        <v/>
      </c>
      <c r="S86" s="4" t="n"/>
      <c r="T86" s="4" t="n">
        <v>86</v>
      </c>
      <c r="U86" s="4" t="n"/>
      <c r="V86" s="7">
        <f>IF(T86="","",IF(S86="",0,S86)*0.35+T86*0.35+IF(U86="",0,U86)*0.30)</f>
        <v/>
      </c>
      <c r="W86" s="4" t="n"/>
      <c r="X86" s="4" t="n"/>
      <c r="Y86" s="4" t="n"/>
      <c r="Z86" s="7">
        <f>IF(X86="","",IF(W86="",0,W86)*0.35+X86*0.35+IF(Y86="",0,Y86)*0.30)</f>
        <v/>
      </c>
      <c r="AA86" s="4" t="n"/>
      <c r="AB86" s="4" t="n"/>
      <c r="AC86" s="4" t="n"/>
      <c r="AD86" s="7">
        <f>IF(AB86="","",IF(AA86="",0,AA86)*0.35+AB86*0.35+IF(AC86="",0,AC86)*0.30)</f>
        <v/>
      </c>
      <c r="AE86" s="4" t="n"/>
      <c r="AF86" s="4" t="n"/>
      <c r="AG86" s="4" t="n"/>
      <c r="AH86" s="4" t="n"/>
      <c r="AI86" s="4" t="n"/>
      <c r="AJ86" s="4" t="n"/>
      <c r="AK86" s="4" t="n"/>
      <c r="AL86" s="4" t="n"/>
      <c r="AM86" s="7" t="n">
        <v>0</v>
      </c>
      <c r="AN86" s="4" t="n">
        <v>0</v>
      </c>
      <c r="AO86" s="4" t="n">
        <v>0</v>
      </c>
      <c r="AP86" s="4" t="n"/>
      <c r="AQ86" s="4" t="n"/>
      <c r="AR86" s="4" t="n"/>
      <c r="AS86" s="4" t="n"/>
    </row>
  </sheetData>
  <mergeCells count="9">
    <mergeCell ref="D1:L1"/>
    <mergeCell ref="A1:C1"/>
    <mergeCell ref="AF1:AM1"/>
    <mergeCell ref="M1:O1"/>
    <mergeCell ref="AN1:AR1"/>
    <mergeCell ref="X1:AA1"/>
    <mergeCell ref="AB1:AE1"/>
    <mergeCell ref="P1:S1"/>
    <mergeCell ref="T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5" customHeight="1">
      <c r="A1" s="5" t="inlineStr">
        <is>
          <t>תעודת זהות</t>
        </is>
      </c>
      <c r="B1" s="5" t="inlineStr">
        <is>
          <t>שם מלא</t>
        </is>
      </c>
      <c r="C1" s="5" t="inlineStr">
        <is>
          <t>כיתה</t>
        </is>
      </c>
      <c r="D1" s="5" t="inlineStr">
        <is>
          <t>אזרחות</t>
        </is>
      </c>
      <c r="E1" s="5" t="inlineStr">
        <is>
          <t>אנגלית</t>
        </is>
      </c>
      <c r="F1" s="5" t="inlineStr">
        <is>
          <t>היסטוריה</t>
        </is>
      </c>
      <c r="G1" s="5" t="inlineStr">
        <is>
          <t>לשון</t>
        </is>
      </c>
      <c r="H1" s="5" t="inlineStr">
        <is>
          <t>מתמטיקה</t>
        </is>
      </c>
      <c r="I1" s="5" t="inlineStr">
        <is>
          <t>תנ''ך</t>
        </is>
      </c>
      <c r="J1" s="5" t="inlineStr">
        <is>
          <t>ספרות</t>
        </is>
      </c>
      <c r="K1" s="5" t="inlineStr">
        <is>
          <t>חינוך גופני</t>
        </is>
      </c>
      <c r="L1" s="5" t="inlineStr">
        <is>
          <t>ממוצע ליבה</t>
        </is>
      </c>
    </row>
    <row r="2">
      <c r="A2" s="7" t="inlineStr">
        <is>
          <t>218075950</t>
        </is>
      </c>
      <c r="B2" s="7" t="inlineStr">
        <is>
          <t>אדמוני שלו</t>
        </is>
      </c>
      <c r="C2" s="7" t="inlineStr">
        <is>
          <t>יא'1</t>
        </is>
      </c>
      <c r="D2" s="4" t="n"/>
      <c r="E2" s="4" t="n"/>
      <c r="F2" s="4" t="n"/>
      <c r="G2" s="4" t="n">
        <v>58</v>
      </c>
      <c r="H2" s="4" t="n">
        <v>59</v>
      </c>
      <c r="I2" s="4" t="n">
        <v>26</v>
      </c>
      <c r="J2" s="4" t="n"/>
      <c r="K2" s="4" t="n"/>
      <c r="L2" s="12">
        <f>IFERROR(AVERAGEIF(D2,E2,F2,G2,H2,I2,"&lt;&gt;"),"")</f>
        <v/>
      </c>
    </row>
    <row r="3">
      <c r="A3" s="7" t="inlineStr">
        <is>
          <t>218071348</t>
        </is>
      </c>
      <c r="B3" s="7" t="inlineStr">
        <is>
          <t>אהרן אדל</t>
        </is>
      </c>
      <c r="C3" s="7" t="inlineStr">
        <is>
          <t>יא'1</t>
        </is>
      </c>
      <c r="D3" s="4" t="n"/>
      <c r="E3" s="4" t="n">
        <v>72</v>
      </c>
      <c r="F3" s="4" t="n">
        <v>50</v>
      </c>
      <c r="G3" s="4" t="n">
        <v>61</v>
      </c>
      <c r="H3" s="4" t="n">
        <v>97</v>
      </c>
      <c r="I3" s="4" t="n">
        <v>39</v>
      </c>
      <c r="J3" s="4" t="n">
        <v>72</v>
      </c>
      <c r="K3" s="4" t="n">
        <v>80</v>
      </c>
      <c r="L3" s="12">
        <f>IFERROR(AVERAGEIF(D3,E3,F3,G3,H3,I3,"&lt;&gt;"),"")</f>
        <v/>
      </c>
    </row>
    <row r="4">
      <c r="A4" s="7" t="inlineStr">
        <is>
          <t>218062586</t>
        </is>
      </c>
      <c r="B4" s="7" t="inlineStr">
        <is>
          <t>איזנקוט ליאן</t>
        </is>
      </c>
      <c r="C4" s="7" t="inlineStr">
        <is>
          <t>יא'1</t>
        </is>
      </c>
      <c r="D4" s="4" t="n"/>
      <c r="E4" s="4" t="n">
        <v>50</v>
      </c>
      <c r="F4" s="4" t="n"/>
      <c r="G4" s="4" t="n">
        <v>61</v>
      </c>
      <c r="H4" s="4" t="n">
        <v>67</v>
      </c>
      <c r="I4" s="4" t="n">
        <v>48</v>
      </c>
      <c r="J4" s="4" t="n"/>
      <c r="K4" s="4" t="n">
        <v>55</v>
      </c>
      <c r="L4" s="12">
        <f>IFERROR(AVERAGEIF(D4,E4,F4,G4,H4,I4,"&lt;&gt;"),"")</f>
        <v/>
      </c>
    </row>
    <row r="5">
      <c r="A5" s="7" t="inlineStr">
        <is>
          <t>218155570</t>
        </is>
      </c>
      <c r="B5" s="7" t="inlineStr">
        <is>
          <t>אלחרר דביר</t>
        </is>
      </c>
      <c r="C5" s="7" t="inlineStr">
        <is>
          <t>יא'1</t>
        </is>
      </c>
      <c r="D5" s="4" t="n"/>
      <c r="E5" s="4" t="n"/>
      <c r="F5" s="4" t="n"/>
      <c r="G5" s="4" t="n">
        <v>50</v>
      </c>
      <c r="H5" s="4" t="n">
        <v>71</v>
      </c>
      <c r="I5" s="4" t="n">
        <v>51</v>
      </c>
      <c r="J5" s="4" t="n">
        <v>50</v>
      </c>
      <c r="K5" s="4" t="n"/>
      <c r="L5" s="12">
        <f>IFERROR(AVERAGEIF(D5,E5,F5,G5,H5,I5,"&lt;&gt;"),"")</f>
        <v/>
      </c>
    </row>
    <row r="6">
      <c r="A6" s="7" t="inlineStr">
        <is>
          <t>327059259</t>
        </is>
      </c>
      <c r="B6" s="7" t="inlineStr">
        <is>
          <t>ארד יונתן</t>
        </is>
      </c>
      <c r="C6" s="7" t="inlineStr">
        <is>
          <t>יא'1</t>
        </is>
      </c>
      <c r="D6" s="4" t="n"/>
      <c r="E6" s="4" t="n">
        <v>92</v>
      </c>
      <c r="F6" s="4" t="n">
        <v>80</v>
      </c>
      <c r="G6" s="4" t="n">
        <v>60</v>
      </c>
      <c r="H6" s="4" t="n">
        <v>64</v>
      </c>
      <c r="I6" s="4" t="n">
        <v>14</v>
      </c>
      <c r="J6" s="4" t="n"/>
      <c r="K6" s="4" t="n">
        <v>75</v>
      </c>
      <c r="L6" s="12">
        <f>IFERROR(AVERAGEIF(D6,E6,F6,G6,H6,I6,"&lt;&gt;"),"")</f>
        <v/>
      </c>
    </row>
    <row r="7">
      <c r="A7" s="7" t="inlineStr">
        <is>
          <t>333697498</t>
        </is>
      </c>
      <c r="B7" s="7" t="inlineStr">
        <is>
          <t>גברילוב ענאל</t>
        </is>
      </c>
      <c r="C7" s="7" t="inlineStr">
        <is>
          <t>יא'1</t>
        </is>
      </c>
      <c r="D7" s="4" t="n">
        <v>86</v>
      </c>
      <c r="E7" s="4" t="n">
        <v>72</v>
      </c>
      <c r="F7" s="4" t="n">
        <v>90</v>
      </c>
      <c r="G7" s="4" t="n">
        <v>60</v>
      </c>
      <c r="H7" s="4" t="n">
        <v>77</v>
      </c>
      <c r="I7" s="4" t="n">
        <v>41</v>
      </c>
      <c r="J7" s="4" t="n">
        <v>48</v>
      </c>
      <c r="K7" s="4" t="n">
        <v>55</v>
      </c>
      <c r="L7" s="12">
        <f>IFERROR(AVERAGEIF(D7,E7,F7,G7,H7,I7,"&lt;&gt;"),"")</f>
        <v/>
      </c>
    </row>
    <row r="8">
      <c r="A8" s="7" t="inlineStr">
        <is>
          <t>337706980</t>
        </is>
      </c>
      <c r="B8" s="7" t="inlineStr">
        <is>
          <t>דה לאון טורס שמעון מנחם</t>
        </is>
      </c>
      <c r="C8" s="7" t="inlineStr">
        <is>
          <t>יא'1</t>
        </is>
      </c>
      <c r="D8" s="4" t="n"/>
      <c r="E8" s="4" t="n">
        <v>67</v>
      </c>
      <c r="F8" s="4" t="n">
        <v>70</v>
      </c>
      <c r="G8" s="4" t="n">
        <v>58</v>
      </c>
      <c r="H8" s="4" t="n">
        <v>97</v>
      </c>
      <c r="I8" s="4" t="n">
        <v>43</v>
      </c>
      <c r="J8" s="4" t="n">
        <v>60</v>
      </c>
      <c r="K8" s="4" t="n">
        <v>60</v>
      </c>
      <c r="L8" s="12">
        <f>IFERROR(AVERAGEIF(D8,E8,F8,G8,H8,I8,"&lt;&gt;"),"")</f>
        <v/>
      </c>
    </row>
    <row r="9">
      <c r="A9" s="7" t="inlineStr"/>
      <c r="B9" s="7" t="inlineStr">
        <is>
          <t>דזיובה מרק</t>
        </is>
      </c>
      <c r="C9" s="7" t="inlineStr">
        <is>
          <t>יא'1</t>
        </is>
      </c>
      <c r="D9" s="8" t="n"/>
      <c r="E9" s="8" t="n"/>
      <c r="F9" s="8" t="n"/>
      <c r="G9" s="8" t="n"/>
      <c r="H9" s="8" t="n">
        <v>50</v>
      </c>
      <c r="I9" s="8" t="n">
        <v>63</v>
      </c>
      <c r="J9" s="8" t="n"/>
      <c r="K9" s="8" t="n"/>
      <c r="L9" s="12">
        <f>IFERROR(AVERAGEIF(D9,E9,F9,G9,H9,I9,"&lt;&gt;"),"")</f>
        <v/>
      </c>
    </row>
    <row r="10">
      <c r="A10" s="7" t="inlineStr">
        <is>
          <t>333712065</t>
        </is>
      </c>
      <c r="B10" s="7" t="inlineStr">
        <is>
          <t>טספאי אורין</t>
        </is>
      </c>
      <c r="C10" s="7" t="inlineStr">
        <is>
          <t>יא'1</t>
        </is>
      </c>
      <c r="D10" s="4" t="n">
        <v>93</v>
      </c>
      <c r="E10" s="4" t="n">
        <v>84</v>
      </c>
      <c r="F10" s="4" t="n">
        <v>90</v>
      </c>
      <c r="G10" s="4" t="n">
        <v>73</v>
      </c>
      <c r="H10" s="4" t="n">
        <v>96</v>
      </c>
      <c r="I10" s="4" t="n">
        <v>17</v>
      </c>
      <c r="J10" s="4" t="n">
        <v>76</v>
      </c>
      <c r="K10" s="4" t="n">
        <v>94</v>
      </c>
      <c r="L10" s="12">
        <f>IFERROR(AVERAGEIF(D10,E10,F10,G10,H10,I10,"&lt;&gt;"),"")</f>
        <v/>
      </c>
    </row>
    <row r="11">
      <c r="A11" s="7" t="inlineStr">
        <is>
          <t>333068609</t>
        </is>
      </c>
      <c r="B11" s="7" t="inlineStr">
        <is>
          <t>טקלה איתי</t>
        </is>
      </c>
      <c r="C11" s="7" t="inlineStr">
        <is>
          <t>יא'1</t>
        </is>
      </c>
      <c r="D11" s="4" t="n">
        <v>90</v>
      </c>
      <c r="E11" s="4" t="n">
        <v>50</v>
      </c>
      <c r="F11" s="4" t="n">
        <v>75</v>
      </c>
      <c r="G11" s="4" t="n">
        <v>62</v>
      </c>
      <c r="H11" s="4" t="n">
        <v>95</v>
      </c>
      <c r="I11" s="4" t="n">
        <v>41</v>
      </c>
      <c r="J11" s="4" t="n">
        <v>76</v>
      </c>
      <c r="K11" s="4" t="n">
        <v>70</v>
      </c>
      <c r="L11" s="12">
        <f>IFERROR(AVERAGEIF(D11,E11,F11,G11,H11,I11,"&lt;&gt;"),"")</f>
        <v/>
      </c>
    </row>
    <row r="12">
      <c r="A12" s="7" t="inlineStr">
        <is>
          <t>218504579</t>
        </is>
      </c>
      <c r="B12" s="7" t="inlineStr">
        <is>
          <t>לוקס סיון</t>
        </is>
      </c>
      <c r="C12" s="7" t="inlineStr">
        <is>
          <t>יא'1</t>
        </is>
      </c>
      <c r="D12" s="4" t="n">
        <v>87</v>
      </c>
      <c r="E12" s="4" t="n">
        <v>88</v>
      </c>
      <c r="F12" s="4" t="n">
        <v>95</v>
      </c>
      <c r="G12" s="4" t="n">
        <v>60</v>
      </c>
      <c r="H12" s="4" t="n">
        <v>86</v>
      </c>
      <c r="I12" s="4" t="n">
        <v>12</v>
      </c>
      <c r="J12" s="4" t="n">
        <v>70</v>
      </c>
      <c r="K12" s="4" t="n">
        <v>100</v>
      </c>
      <c r="L12" s="12">
        <f>IFERROR(AVERAGEIF(D12,E12,F12,G12,H12,I12,"&lt;&gt;"),"")</f>
        <v/>
      </c>
    </row>
    <row r="13">
      <c r="A13" s="7" t="inlineStr">
        <is>
          <t>218597250</t>
        </is>
      </c>
      <c r="B13" s="7" t="inlineStr">
        <is>
          <t>מורציאנו לינוי</t>
        </is>
      </c>
      <c r="C13" s="7" t="inlineStr">
        <is>
          <t>יא'1</t>
        </is>
      </c>
      <c r="D13" s="4" t="n"/>
      <c r="E13" s="4" t="n">
        <v>55</v>
      </c>
      <c r="F13" s="4" t="n">
        <v>80</v>
      </c>
      <c r="G13" s="4" t="n">
        <v>50</v>
      </c>
      <c r="H13" s="4" t="n">
        <v>52</v>
      </c>
      <c r="I13" s="4" t="n">
        <v>51</v>
      </c>
      <c r="J13" s="4" t="n"/>
      <c r="K13" s="4" t="n">
        <v>50</v>
      </c>
      <c r="L13" s="12">
        <f>IFERROR(AVERAGEIF(D13,E13,F13,G13,H13,I13,"&lt;&gt;"),"")</f>
        <v/>
      </c>
    </row>
    <row r="14">
      <c r="A14" s="7" t="inlineStr">
        <is>
          <t>333762920</t>
        </is>
      </c>
      <c r="B14" s="7" t="inlineStr">
        <is>
          <t>מקטה הודיה</t>
        </is>
      </c>
      <c r="C14" s="7" t="inlineStr">
        <is>
          <t>יא'1</t>
        </is>
      </c>
      <c r="D14" s="4" t="n">
        <v>49</v>
      </c>
      <c r="E14" s="4" t="n">
        <v>80</v>
      </c>
      <c r="F14" s="4" t="n">
        <v>70</v>
      </c>
      <c r="G14" s="4" t="n"/>
      <c r="H14" s="4" t="n">
        <v>60</v>
      </c>
      <c r="I14" s="4" t="n">
        <v>34</v>
      </c>
      <c r="J14" s="4" t="n">
        <v>70</v>
      </c>
      <c r="K14" s="4" t="n">
        <v>100</v>
      </c>
      <c r="L14" s="12">
        <f>IFERROR(AVERAGEIF(D14,E14,F14,G14,H14,I14,"&lt;&gt;"),"")</f>
        <v/>
      </c>
    </row>
    <row r="15">
      <c r="A15" s="7" t="inlineStr">
        <is>
          <t>333086700</t>
        </is>
      </c>
      <c r="B15" s="7" t="inlineStr">
        <is>
          <t>נדם דנה</t>
        </is>
      </c>
      <c r="C15" s="7" t="inlineStr">
        <is>
          <t>יא'1</t>
        </is>
      </c>
      <c r="D15" s="4" t="n"/>
      <c r="E15" s="4" t="n">
        <v>58</v>
      </c>
      <c r="F15" s="4" t="n"/>
      <c r="G15" s="4" t="n">
        <v>81</v>
      </c>
      <c r="H15" s="4" t="n">
        <v>99</v>
      </c>
      <c r="I15" s="4" t="n">
        <v>34</v>
      </c>
      <c r="J15" s="4" t="n">
        <v>55</v>
      </c>
      <c r="K15" s="4" t="n">
        <v>75</v>
      </c>
      <c r="L15" s="12">
        <f>IFERROR(AVERAGEIF(D15,E15,F15,G15,H15,I15,"&lt;&gt;"),"")</f>
        <v/>
      </c>
    </row>
    <row r="16">
      <c r="A16" s="7" t="inlineStr">
        <is>
          <t>333086718</t>
        </is>
      </c>
      <c r="B16" s="7" t="inlineStr">
        <is>
          <t>נדם עלמה</t>
        </is>
      </c>
      <c r="C16" s="7" t="inlineStr">
        <is>
          <t>יא'1</t>
        </is>
      </c>
      <c r="D16" s="4" t="n"/>
      <c r="E16" s="4" t="n">
        <v>50</v>
      </c>
      <c r="F16" s="4" t="n"/>
      <c r="G16" s="4" t="n">
        <v>61</v>
      </c>
      <c r="H16" s="4" t="n">
        <v>95</v>
      </c>
      <c r="I16" s="4" t="n">
        <v>37</v>
      </c>
      <c r="J16" s="4" t="n">
        <v>67</v>
      </c>
      <c r="K16" s="4" t="n">
        <v>55</v>
      </c>
      <c r="L16" s="12">
        <f>IFERROR(AVERAGEIF(D16,E16,F16,G16,H16,I16,"&lt;&gt;"),"")</f>
        <v/>
      </c>
    </row>
    <row r="17">
      <c r="A17" s="7" t="inlineStr">
        <is>
          <t>333139582</t>
        </is>
      </c>
      <c r="B17" s="7" t="inlineStr">
        <is>
          <t>סבג מאי</t>
        </is>
      </c>
      <c r="C17" s="7" t="inlineStr">
        <is>
          <t>יא'1</t>
        </is>
      </c>
      <c r="D17" s="4" t="n"/>
      <c r="E17" s="4" t="n"/>
      <c r="F17" s="4" t="n"/>
      <c r="G17" s="4" t="n"/>
      <c r="H17" s="4" t="n">
        <v>50</v>
      </c>
      <c r="I17" s="4" t="n">
        <v>47</v>
      </c>
      <c r="J17" s="4" t="n"/>
      <c r="K17" s="4" t="n">
        <v>50</v>
      </c>
      <c r="L17" s="12">
        <f>IFERROR(AVERAGEIF(D17,E17,F17,G17,H17,I17,"&lt;&gt;"),"")</f>
        <v/>
      </c>
    </row>
    <row r="18">
      <c r="A18" s="7" t="inlineStr">
        <is>
          <t>332006857</t>
        </is>
      </c>
      <c r="B18" s="7" t="inlineStr">
        <is>
          <t>עומסי אור</t>
        </is>
      </c>
      <c r="C18" s="7" t="inlineStr">
        <is>
          <t>יא'1</t>
        </is>
      </c>
      <c r="D18" s="4" t="n"/>
      <c r="E18" s="4" t="n"/>
      <c r="F18" s="4" t="n"/>
      <c r="G18" s="4" t="n"/>
      <c r="H18" s="4" t="n">
        <v>50</v>
      </c>
      <c r="I18" s="4" t="n">
        <v>57</v>
      </c>
      <c r="J18" s="4" t="n"/>
      <c r="K18" s="4" t="n">
        <v>55</v>
      </c>
      <c r="L18" s="12">
        <f>IFERROR(AVERAGEIF(D18,E18,F18,G18,H18,I18,"&lt;&gt;"),"")</f>
        <v/>
      </c>
    </row>
    <row r="19">
      <c r="A19" s="7" t="inlineStr">
        <is>
          <t>348419466</t>
        </is>
      </c>
      <c r="B19" s="7" t="inlineStr">
        <is>
          <t>פלוטניקוב פבליה פולינה</t>
        </is>
      </c>
      <c r="C19" s="7" t="inlineStr">
        <is>
          <t>יא'1</t>
        </is>
      </c>
      <c r="D19" s="4" t="n"/>
      <c r="E19" s="4" t="n">
        <v>80</v>
      </c>
      <c r="F19" s="4" t="n">
        <v>100</v>
      </c>
      <c r="G19" s="4" t="n">
        <v>62</v>
      </c>
      <c r="H19" s="4" t="n">
        <v>100</v>
      </c>
      <c r="I19" s="4" t="n">
        <v>29</v>
      </c>
      <c r="J19" s="4" t="n">
        <v>68</v>
      </c>
      <c r="K19" s="4" t="n">
        <v>75</v>
      </c>
      <c r="L19" s="12">
        <f>IFERROR(AVERAGEIF(D19,E19,F19,G19,H19,I19,"&lt;&gt;"),"")</f>
        <v/>
      </c>
    </row>
    <row r="20">
      <c r="A20" s="7" t="inlineStr">
        <is>
          <t>333069722</t>
        </is>
      </c>
      <c r="B20" s="7" t="inlineStr">
        <is>
          <t>ארביב יואב</t>
        </is>
      </c>
      <c r="C20" s="7" t="inlineStr">
        <is>
          <t>יא'2</t>
        </is>
      </c>
      <c r="D20" s="8" t="n"/>
      <c r="E20" s="8" t="n"/>
      <c r="F20" s="8" t="n"/>
      <c r="G20" s="8" t="n">
        <v>56</v>
      </c>
      <c r="H20" s="8" t="n">
        <v>50</v>
      </c>
      <c r="I20" s="8" t="n">
        <v>94</v>
      </c>
      <c r="J20" s="8" t="n">
        <v>50</v>
      </c>
      <c r="K20" s="8" t="n"/>
      <c r="L20" s="12">
        <f>IFERROR(AVERAGEIF(D20,E20,F20,G20,H20,I20,"&lt;&gt;"),"")</f>
        <v/>
      </c>
    </row>
    <row r="21">
      <c r="A21" s="7" t="inlineStr">
        <is>
          <t>332920156</t>
        </is>
      </c>
      <c r="B21" s="7" t="inlineStr">
        <is>
          <t>יוחנוב ליאור</t>
        </is>
      </c>
      <c r="C21" s="7" t="inlineStr">
        <is>
          <t>יא'2</t>
        </is>
      </c>
      <c r="D21" s="8" t="n"/>
      <c r="E21" s="8" t="n"/>
      <c r="F21" s="8" t="n">
        <v>70</v>
      </c>
      <c r="G21" s="8" t="n">
        <v>44</v>
      </c>
      <c r="H21" s="8" t="n">
        <v>50</v>
      </c>
      <c r="I21" s="8" t="n">
        <v>46</v>
      </c>
      <c r="J21" s="8" t="n">
        <v>41</v>
      </c>
      <c r="K21" s="8" t="n"/>
      <c r="L21" s="12">
        <f>IFERROR(AVERAGEIF(D21,E21,F21,G21,H21,I21,"&lt;&gt;"),"")</f>
        <v/>
      </c>
    </row>
    <row r="22">
      <c r="A22" s="7" t="inlineStr">
        <is>
          <t>217978212</t>
        </is>
      </c>
      <c r="B22" s="7" t="inlineStr">
        <is>
          <t>ניסן אורטל</t>
        </is>
      </c>
      <c r="C22" s="7" t="inlineStr">
        <is>
          <t>יא'2</t>
        </is>
      </c>
      <c r="D22" s="8" t="n">
        <v>96</v>
      </c>
      <c r="E22" s="8" t="n">
        <v>81</v>
      </c>
      <c r="F22" s="8" t="n">
        <v>80</v>
      </c>
      <c r="G22" s="8" t="n">
        <v>91</v>
      </c>
      <c r="H22" s="8" t="n">
        <v>87</v>
      </c>
      <c r="I22" s="8" t="n">
        <v>25</v>
      </c>
      <c r="J22" s="8" t="n">
        <v>100</v>
      </c>
      <c r="K22" s="8" t="n">
        <v>71</v>
      </c>
      <c r="L22" s="12">
        <f>IFERROR(AVERAGEIF(D22,E22,F22,G22,H22,I22,"&lt;&gt;"),"")</f>
        <v/>
      </c>
    </row>
    <row r="23">
      <c r="A23" s="7" t="inlineStr">
        <is>
          <t>333673523</t>
        </is>
      </c>
      <c r="B23" s="7" t="inlineStr">
        <is>
          <t>סילס שרית רפאלה</t>
        </is>
      </c>
      <c r="C23" s="7" t="inlineStr">
        <is>
          <t>יא'2</t>
        </is>
      </c>
      <c r="D23" s="8" t="n"/>
      <c r="E23" s="8" t="n"/>
      <c r="F23" s="8" t="n">
        <v>70</v>
      </c>
      <c r="G23" s="8" t="n">
        <v>80</v>
      </c>
      <c r="H23" s="8" t="n">
        <v>50</v>
      </c>
      <c r="I23" s="8" t="n">
        <v>61</v>
      </c>
      <c r="J23" s="8" t="n">
        <v>42</v>
      </c>
      <c r="K23" s="8" t="n"/>
      <c r="L23" s="12">
        <f>IFERROR(AVERAGEIF(D23,E23,F23,G23,H23,I23,"&lt;&gt;"),"")</f>
        <v/>
      </c>
    </row>
    <row r="24">
      <c r="A24" s="7" t="inlineStr">
        <is>
          <t>333136471</t>
        </is>
      </c>
      <c r="B24" s="7" t="inlineStr">
        <is>
          <t>פיצחדזה ניקול</t>
        </is>
      </c>
      <c r="C24" s="7" t="inlineStr">
        <is>
          <t>יא'2</t>
        </is>
      </c>
      <c r="D24" s="8" t="n">
        <v>72</v>
      </c>
      <c r="E24" s="8" t="n">
        <v>60</v>
      </c>
      <c r="F24" s="8" t="n">
        <v>100</v>
      </c>
      <c r="G24" s="8" t="n">
        <v>82</v>
      </c>
      <c r="H24" s="8" t="n">
        <v>43</v>
      </c>
      <c r="I24" s="8" t="n">
        <v>64</v>
      </c>
      <c r="J24" s="8" t="n">
        <v>91</v>
      </c>
      <c r="K24" s="8" t="n">
        <v>70</v>
      </c>
      <c r="L24" s="12">
        <f>IFERROR(AVERAGEIF(D24,E24,F24,G24,H24,I24,"&lt;&gt;"),"")</f>
        <v/>
      </c>
    </row>
    <row r="25">
      <c r="A25" s="7" t="inlineStr">
        <is>
          <t>217998111</t>
        </is>
      </c>
      <c r="B25" s="7" t="inlineStr">
        <is>
          <t>תורן נועם דמיאן</t>
        </is>
      </c>
      <c r="C25" s="7" t="inlineStr">
        <is>
          <t>יא'2</t>
        </is>
      </c>
      <c r="D25" s="8" t="n"/>
      <c r="E25" s="8" t="n"/>
      <c r="F25" s="8" t="n"/>
      <c r="G25" s="8" t="n"/>
      <c r="H25" s="8" t="n">
        <v>60</v>
      </c>
      <c r="I25" s="8" t="n">
        <v>71</v>
      </c>
      <c r="J25" s="8" t="n"/>
      <c r="K25" s="8" t="n">
        <v>70</v>
      </c>
      <c r="L25" s="12">
        <f>IFERROR(AVERAGEIF(D25,E25,F25,G25,H25,I25,"&lt;&gt;"),"")</f>
        <v/>
      </c>
    </row>
    <row r="26">
      <c r="A26" s="7" t="inlineStr">
        <is>
          <t>332883990</t>
        </is>
      </c>
      <c r="B26" s="7" t="inlineStr">
        <is>
          <t>אבו חאלד אסיה</t>
        </is>
      </c>
      <c r="C26" s="7" t="inlineStr">
        <is>
          <t>יא'4</t>
        </is>
      </c>
      <c r="D26" s="4" t="n">
        <v>55</v>
      </c>
      <c r="E26" s="4" t="n">
        <v>89</v>
      </c>
      <c r="F26" s="4" t="n">
        <v>70</v>
      </c>
      <c r="G26" s="4" t="n">
        <v>47</v>
      </c>
      <c r="H26" s="4" t="n">
        <v>49</v>
      </c>
      <c r="I26" s="4" t="n">
        <v>19</v>
      </c>
      <c r="J26" s="4" t="n">
        <v>60</v>
      </c>
      <c r="K26" s="4" t="n">
        <v>95</v>
      </c>
      <c r="L26" s="12">
        <f>IFERROR(AVERAGEIF(D26,E26,F26,G26,H26,I26,"&lt;&gt;"),"")</f>
        <v/>
      </c>
    </row>
    <row r="27">
      <c r="A27" s="7" t="inlineStr">
        <is>
          <t>218545978</t>
        </is>
      </c>
      <c r="B27" s="7" t="inlineStr">
        <is>
          <t>אברה עילי</t>
        </is>
      </c>
      <c r="C27" s="7" t="inlineStr">
        <is>
          <t>יא'4</t>
        </is>
      </c>
      <c r="D27" s="4" t="n">
        <v>53</v>
      </c>
      <c r="E27" s="4" t="n">
        <v>74</v>
      </c>
      <c r="F27" s="4" t="n">
        <v>100</v>
      </c>
      <c r="G27" s="4" t="n">
        <v>66</v>
      </c>
      <c r="H27" s="4" t="n">
        <v>70</v>
      </c>
      <c r="I27" s="4" t="n">
        <v>33</v>
      </c>
      <c r="J27" s="4" t="n">
        <v>66</v>
      </c>
      <c r="K27" s="4" t="n">
        <v>53</v>
      </c>
      <c r="L27" s="12">
        <f>IFERROR(AVERAGEIF(D27,E27,F27,G27,H27,I27,"&lt;&gt;"),"")</f>
        <v/>
      </c>
    </row>
    <row r="28">
      <c r="A28" s="7" t="inlineStr">
        <is>
          <t>333202471</t>
        </is>
      </c>
      <c r="B28" s="7" t="inlineStr">
        <is>
          <t>בכר לליה מליסה</t>
        </is>
      </c>
      <c r="C28" s="7" t="inlineStr">
        <is>
          <t>יא'4</t>
        </is>
      </c>
      <c r="D28" s="4" t="n">
        <v>50</v>
      </c>
      <c r="E28" s="4" t="n"/>
      <c r="F28" s="4" t="n"/>
      <c r="G28" s="4" t="n"/>
      <c r="H28" s="4" t="n">
        <v>91</v>
      </c>
      <c r="I28" s="4" t="n">
        <v>42</v>
      </c>
      <c r="J28" s="4" t="n">
        <v>70</v>
      </c>
      <c r="K28" s="4" t="n">
        <v>90</v>
      </c>
      <c r="L28" s="12">
        <f>IFERROR(AVERAGEIF(D28,E28,F28,G28,H28,I28,"&lt;&gt;"),"")</f>
        <v/>
      </c>
    </row>
    <row r="29">
      <c r="A29" s="7" t="inlineStr">
        <is>
          <t>332883065</t>
        </is>
      </c>
      <c r="B29" s="7" t="inlineStr">
        <is>
          <t>בן עמי יהונתן</t>
        </is>
      </c>
      <c r="C29" s="7" t="inlineStr">
        <is>
          <t>יא'4</t>
        </is>
      </c>
      <c r="D29" s="4" t="n">
        <v>51</v>
      </c>
      <c r="E29" s="4" t="n">
        <v>91</v>
      </c>
      <c r="F29" s="4" t="n"/>
      <c r="G29" s="4" t="n">
        <v>43</v>
      </c>
      <c r="H29" s="4" t="n">
        <v>100</v>
      </c>
      <c r="I29" s="4" t="n">
        <v>29</v>
      </c>
      <c r="J29" s="4" t="n">
        <v>65</v>
      </c>
      <c r="K29" s="4" t="n"/>
      <c r="L29" s="12">
        <f>IFERROR(AVERAGEIF(D29,E29,F29,G29,H29,I29,"&lt;&gt;"),"")</f>
        <v/>
      </c>
    </row>
    <row r="30">
      <c r="A30" s="7" t="inlineStr">
        <is>
          <t>333167740</t>
        </is>
      </c>
      <c r="B30" s="7" t="inlineStr">
        <is>
          <t>גושן מיכאל</t>
        </is>
      </c>
      <c r="C30" s="7" t="inlineStr">
        <is>
          <t>יא'4</t>
        </is>
      </c>
      <c r="D30" s="4" t="n">
        <v>99</v>
      </c>
      <c r="E30" s="4" t="n">
        <v>90</v>
      </c>
      <c r="F30" s="4" t="n">
        <v>100</v>
      </c>
      <c r="G30" s="4" t="n">
        <v>98</v>
      </c>
      <c r="H30" s="4" t="n">
        <v>88</v>
      </c>
      <c r="I30" s="4" t="n">
        <v>93</v>
      </c>
      <c r="J30" s="4" t="n">
        <v>94</v>
      </c>
      <c r="K30" s="4" t="n">
        <v>76</v>
      </c>
      <c r="L30" s="12">
        <f>IFERROR(AVERAGEIF(D30,E30,F30,G30,H30,I30,"&lt;&gt;"),"")</f>
        <v/>
      </c>
    </row>
    <row r="31">
      <c r="A31" s="7" t="inlineStr">
        <is>
          <t>218124535</t>
        </is>
      </c>
      <c r="B31" s="7" t="inlineStr">
        <is>
          <t>טגנה אושר-חימנוט</t>
        </is>
      </c>
      <c r="C31" s="7" t="inlineStr">
        <is>
          <t>יא'4</t>
        </is>
      </c>
      <c r="D31" s="4" t="n">
        <v>97</v>
      </c>
      <c r="E31" s="4" t="n"/>
      <c r="F31" s="4" t="n">
        <v>100</v>
      </c>
      <c r="G31" s="4" t="n">
        <v>98</v>
      </c>
      <c r="H31" s="4" t="n">
        <v>79</v>
      </c>
      <c r="I31" s="4" t="n">
        <v>34</v>
      </c>
      <c r="J31" s="4" t="n">
        <v>93</v>
      </c>
      <c r="K31" s="4" t="n">
        <v>100</v>
      </c>
      <c r="L31" s="12">
        <f>IFERROR(AVERAGEIF(D31,E31,F31,G31,H31,I31,"&lt;&gt;"),"")</f>
        <v/>
      </c>
    </row>
    <row r="32">
      <c r="A32" s="7" t="inlineStr">
        <is>
          <t>334230489</t>
        </is>
      </c>
      <c r="B32" s="7" t="inlineStr">
        <is>
          <t>טל אייל</t>
        </is>
      </c>
      <c r="C32" s="7" t="inlineStr">
        <is>
          <t>יא'4</t>
        </is>
      </c>
      <c r="D32" s="4" t="n">
        <v>99</v>
      </c>
      <c r="E32" s="4" t="n">
        <v>92</v>
      </c>
      <c r="F32" s="4" t="n">
        <v>100</v>
      </c>
      <c r="G32" s="4" t="n">
        <v>91</v>
      </c>
      <c r="H32" s="4" t="n">
        <v>78</v>
      </c>
      <c r="I32" s="4" t="n">
        <v>85</v>
      </c>
      <c r="J32" s="4" t="n">
        <v>80</v>
      </c>
      <c r="K32" s="4" t="n">
        <v>72</v>
      </c>
      <c r="L32" s="12">
        <f>IFERROR(AVERAGEIF(D32,E32,F32,G32,H32,I32,"&lt;&gt;"),"")</f>
        <v/>
      </c>
    </row>
    <row r="33">
      <c r="A33" s="7" t="inlineStr">
        <is>
          <t>218578367</t>
        </is>
      </c>
      <c r="B33" s="7" t="inlineStr">
        <is>
          <t>ישראל נוגה</t>
        </is>
      </c>
      <c r="C33" s="7" t="inlineStr">
        <is>
          <t>יא'4</t>
        </is>
      </c>
      <c r="D33" s="4" t="n">
        <v>45</v>
      </c>
      <c r="E33" s="4" t="n"/>
      <c r="F33" s="4" t="n"/>
      <c r="G33" s="4" t="n"/>
      <c r="H33" s="4" t="n"/>
      <c r="I33" s="4" t="n"/>
      <c r="J33" s="4" t="n"/>
      <c r="K33" s="4" t="n"/>
      <c r="L33" s="12">
        <f>IFERROR(AVERAGEIF(D33,E33,F33,G33,H33,I33,"&lt;&gt;"),"")</f>
        <v/>
      </c>
    </row>
    <row r="34">
      <c r="A34" s="7" t="inlineStr">
        <is>
          <t>337861850</t>
        </is>
      </c>
      <c r="B34" s="7" t="inlineStr">
        <is>
          <t>לבטוב ולדיסלב</t>
        </is>
      </c>
      <c r="C34" s="7" t="inlineStr">
        <is>
          <t>יא'4</t>
        </is>
      </c>
      <c r="D34" s="4" t="n">
        <v>54</v>
      </c>
      <c r="E34" s="4" t="n">
        <v>91</v>
      </c>
      <c r="F34" s="4" t="n">
        <v>100</v>
      </c>
      <c r="G34" s="4" t="n">
        <v>86</v>
      </c>
      <c r="H34" s="4" t="n">
        <v>72</v>
      </c>
      <c r="I34" s="4" t="n">
        <v>28</v>
      </c>
      <c r="J34" s="4" t="n">
        <v>77</v>
      </c>
      <c r="K34" s="4" t="n">
        <v>95</v>
      </c>
      <c r="L34" s="12">
        <f>IFERROR(AVERAGEIF(D34,E34,F34,G34,H34,I34,"&lt;&gt;"),"")</f>
        <v/>
      </c>
    </row>
    <row r="35">
      <c r="A35" s="7" t="inlineStr">
        <is>
          <t>218862167</t>
        </is>
      </c>
      <c r="B35" s="7" t="inlineStr">
        <is>
          <t>לוי ליאן</t>
        </is>
      </c>
      <c r="C35" s="7" t="inlineStr">
        <is>
          <t>יא'4</t>
        </is>
      </c>
      <c r="D35" s="4" t="n"/>
      <c r="E35" s="4" t="n"/>
      <c r="F35" s="4" t="n"/>
      <c r="G35" s="4" t="n">
        <v>45</v>
      </c>
      <c r="H35" s="4" t="n">
        <v>100</v>
      </c>
      <c r="I35" s="4" t="n">
        <v>38</v>
      </c>
      <c r="J35" s="4" t="n">
        <v>70</v>
      </c>
      <c r="K35" s="4" t="n">
        <v>50</v>
      </c>
      <c r="L35" s="12">
        <f>IFERROR(AVERAGEIF(D35,E35,F35,G35,H35,I35,"&lt;&gt;"),"")</f>
        <v/>
      </c>
    </row>
    <row r="36">
      <c r="A36" s="7" t="inlineStr">
        <is>
          <t>332992031</t>
        </is>
      </c>
      <c r="B36" s="7" t="inlineStr">
        <is>
          <t>מזרחי איתי</t>
        </is>
      </c>
      <c r="C36" s="7" t="inlineStr">
        <is>
          <t>יא'4</t>
        </is>
      </c>
      <c r="D36" s="4" t="n">
        <v>54</v>
      </c>
      <c r="E36" s="4" t="n">
        <v>86</v>
      </c>
      <c r="F36" s="4" t="n">
        <v>100</v>
      </c>
      <c r="G36" s="4" t="n">
        <v>98</v>
      </c>
      <c r="H36" s="4" t="n">
        <v>80</v>
      </c>
      <c r="I36" s="4" t="n">
        <v>55</v>
      </c>
      <c r="J36" s="4" t="n">
        <v>89</v>
      </c>
      <c r="K36" s="4" t="n">
        <v>100</v>
      </c>
      <c r="L36" s="12">
        <f>IFERROR(AVERAGEIF(D36,E36,F36,G36,H36,I36,"&lt;&gt;"),"")</f>
        <v/>
      </c>
    </row>
    <row r="37">
      <c r="A37" s="7" t="inlineStr">
        <is>
          <t>333567329</t>
        </is>
      </c>
      <c r="B37" s="7" t="inlineStr">
        <is>
          <t>מיכאלי אביגיל</t>
        </is>
      </c>
      <c r="C37" s="7" t="inlineStr">
        <is>
          <t>יא'4</t>
        </is>
      </c>
      <c r="D37" s="4" t="n">
        <v>98</v>
      </c>
      <c r="E37" s="4" t="n">
        <v>94</v>
      </c>
      <c r="F37" s="4" t="n">
        <v>100</v>
      </c>
      <c r="G37" s="4" t="n">
        <v>98</v>
      </c>
      <c r="H37" s="4" t="n">
        <v>92</v>
      </c>
      <c r="I37" s="4" t="n">
        <v>18</v>
      </c>
      <c r="J37" s="4" t="n">
        <v>91</v>
      </c>
      <c r="K37" s="4" t="n">
        <v>100</v>
      </c>
      <c r="L37" s="12">
        <f>IFERROR(AVERAGEIF(D37,E37,F37,G37,H37,I37,"&lt;&gt;"),"")</f>
        <v/>
      </c>
    </row>
    <row r="38">
      <c r="A38" s="7" t="inlineStr">
        <is>
          <t>333628071</t>
        </is>
      </c>
      <c r="B38" s="7" t="inlineStr">
        <is>
          <t>מלדה ינון</t>
        </is>
      </c>
      <c r="C38" s="7" t="inlineStr">
        <is>
          <t>יא'4</t>
        </is>
      </c>
      <c r="D38" s="4" t="n">
        <v>99</v>
      </c>
      <c r="E38" s="4" t="n">
        <v>80</v>
      </c>
      <c r="F38" s="4" t="n">
        <v>100</v>
      </c>
      <c r="G38" s="4" t="n">
        <v>59</v>
      </c>
      <c r="H38" s="4" t="n">
        <v>76</v>
      </c>
      <c r="I38" s="4" t="n">
        <v>84</v>
      </c>
      <c r="J38" s="4" t="n">
        <v>60</v>
      </c>
      <c r="K38" s="4" t="n">
        <v>96</v>
      </c>
      <c r="L38" s="12">
        <f>IFERROR(AVERAGEIF(D38,E38,F38,G38,H38,I38,"&lt;&gt;"),"")</f>
        <v/>
      </c>
    </row>
    <row r="39">
      <c r="A39" s="7" t="inlineStr">
        <is>
          <t>218147452</t>
        </is>
      </c>
      <c r="B39" s="7" t="inlineStr">
        <is>
          <t>מקונן שירה</t>
        </is>
      </c>
      <c r="C39" s="7" t="inlineStr">
        <is>
          <t>יא'4</t>
        </is>
      </c>
      <c r="D39" s="4" t="n">
        <v>46</v>
      </c>
      <c r="E39" s="4" t="n">
        <v>60</v>
      </c>
      <c r="F39" s="4" t="n">
        <v>100</v>
      </c>
      <c r="G39" s="4" t="n">
        <v>65</v>
      </c>
      <c r="H39" s="4" t="n">
        <v>50</v>
      </c>
      <c r="I39" s="4" t="n">
        <v>36</v>
      </c>
      <c r="J39" s="4" t="n">
        <v>45</v>
      </c>
      <c r="K39" s="4" t="n">
        <v>80</v>
      </c>
      <c r="L39" s="12">
        <f>IFERROR(AVERAGEIF(D39,E39,F39,G39,H39,I39,"&lt;&gt;"),"")</f>
        <v/>
      </c>
    </row>
    <row r="40">
      <c r="A40" s="7" t="inlineStr">
        <is>
          <t>333762920</t>
        </is>
      </c>
      <c r="B40" s="7" t="inlineStr">
        <is>
          <t>מקטה הודיה</t>
        </is>
      </c>
      <c r="C40" s="7" t="inlineStr">
        <is>
          <t>יא'4</t>
        </is>
      </c>
      <c r="D40" s="4" t="n">
        <v>49</v>
      </c>
      <c r="E40" s="4" t="n">
        <v>80</v>
      </c>
      <c r="F40" s="4" t="n">
        <v>70</v>
      </c>
      <c r="G40" s="4" t="n"/>
      <c r="H40" s="4" t="n">
        <v>60</v>
      </c>
      <c r="I40" s="4" t="n">
        <v>34</v>
      </c>
      <c r="J40" s="4" t="n">
        <v>70</v>
      </c>
      <c r="K40" s="4" t="n">
        <v>100</v>
      </c>
      <c r="L40" s="12">
        <f>IFERROR(AVERAGEIF(D40,E40,F40,G40,H40,I40,"&lt;&gt;"),"")</f>
        <v/>
      </c>
    </row>
    <row r="41">
      <c r="A41" s="7" t="inlineStr">
        <is>
          <t>218724177</t>
        </is>
      </c>
      <c r="B41" s="7" t="inlineStr">
        <is>
          <t>מתתיהו רומי</t>
        </is>
      </c>
      <c r="C41" s="7" t="inlineStr">
        <is>
          <t>יא'4</t>
        </is>
      </c>
      <c r="D41" s="4" t="n">
        <v>49</v>
      </c>
      <c r="E41" s="4" t="n">
        <v>67</v>
      </c>
      <c r="F41" s="4" t="n"/>
      <c r="G41" s="4" t="n">
        <v>52</v>
      </c>
      <c r="H41" s="4" t="n"/>
      <c r="I41" s="4" t="n">
        <v>60</v>
      </c>
      <c r="J41" s="4" t="n">
        <v>78</v>
      </c>
      <c r="K41" s="4" t="n">
        <v>90</v>
      </c>
      <c r="L41" s="12">
        <f>IFERROR(AVERAGEIF(D41,E41,F41,G41,H41,I41,"&lt;&gt;"),"")</f>
        <v/>
      </c>
    </row>
    <row r="42">
      <c r="A42" s="7" t="inlineStr">
        <is>
          <t>333212785</t>
        </is>
      </c>
      <c r="B42" s="7" t="inlineStr">
        <is>
          <t>נגבקר אור</t>
        </is>
      </c>
      <c r="C42" s="7" t="inlineStr">
        <is>
          <t>יא'4</t>
        </is>
      </c>
      <c r="D42" s="4" t="n">
        <v>70</v>
      </c>
      <c r="E42" s="4" t="n">
        <v>65</v>
      </c>
      <c r="F42" s="4" t="n">
        <v>70</v>
      </c>
      <c r="G42" s="4" t="n">
        <v>68</v>
      </c>
      <c r="H42" s="4" t="n">
        <v>91</v>
      </c>
      <c r="I42" s="4" t="n">
        <v>46</v>
      </c>
      <c r="J42" s="4" t="n">
        <v>64</v>
      </c>
      <c r="K42" s="4" t="n"/>
      <c r="L42" s="12">
        <f>IFERROR(AVERAGEIF(D42,E42,F42,G42,H42,I42,"&lt;&gt;"),"")</f>
        <v/>
      </c>
    </row>
    <row r="43">
      <c r="A43" s="7" t="inlineStr">
        <is>
          <t>333136463</t>
        </is>
      </c>
      <c r="B43" s="7" t="inlineStr">
        <is>
          <t>פיצחדזה ניקה</t>
        </is>
      </c>
      <c r="C43" s="7" t="inlineStr">
        <is>
          <t>יא'4</t>
        </is>
      </c>
      <c r="D43" s="4" t="n">
        <v>97</v>
      </c>
      <c r="E43" s="4" t="n">
        <v>80</v>
      </c>
      <c r="F43" s="4" t="n">
        <v>100</v>
      </c>
      <c r="G43" s="4" t="n">
        <v>89</v>
      </c>
      <c r="H43" s="4" t="n"/>
      <c r="I43" s="4" t="n">
        <v>57</v>
      </c>
      <c r="J43" s="4" t="n">
        <v>71</v>
      </c>
      <c r="K43" s="4" t="n">
        <v>94</v>
      </c>
      <c r="L43" s="12">
        <f>IFERROR(AVERAGEIF(D43,E43,F43,G43,H43,I43,"&lt;&gt;"),"")</f>
        <v/>
      </c>
    </row>
    <row r="44">
      <c r="A44" s="7" t="inlineStr">
        <is>
          <t>339739120</t>
        </is>
      </c>
      <c r="B44" s="7" t="inlineStr">
        <is>
          <t>קורונל טליס מטאו אומר</t>
        </is>
      </c>
      <c r="C44" s="7" t="inlineStr">
        <is>
          <t>יא'4</t>
        </is>
      </c>
      <c r="D44" s="4" t="n">
        <v>87</v>
      </c>
      <c r="E44" s="4" t="n">
        <v>76</v>
      </c>
      <c r="F44" s="4" t="n"/>
      <c r="G44" s="4" t="n"/>
      <c r="H44" s="4" t="n">
        <v>91</v>
      </c>
      <c r="I44" s="4" t="n">
        <v>40</v>
      </c>
      <c r="J44" s="4" t="n"/>
      <c r="K44" s="4" t="n">
        <v>99</v>
      </c>
      <c r="L44" s="12">
        <f>IFERROR(AVERAGEIF(D44,E44,F44,G44,H44,I44,"&lt;&gt;"),"")</f>
        <v/>
      </c>
    </row>
    <row r="45">
      <c r="A45" s="7" t="inlineStr">
        <is>
          <t>217815885</t>
        </is>
      </c>
      <c r="B45" s="7" t="inlineStr">
        <is>
          <t>רובינוב אנה</t>
        </is>
      </c>
      <c r="C45" s="7" t="inlineStr">
        <is>
          <t>יא'4</t>
        </is>
      </c>
      <c r="D45" s="4" t="n">
        <v>53</v>
      </c>
      <c r="E45" s="4" t="n">
        <v>71</v>
      </c>
      <c r="F45" s="4" t="n">
        <v>100</v>
      </c>
      <c r="G45" s="4" t="n"/>
      <c r="H45" s="4" t="n">
        <v>55</v>
      </c>
      <c r="I45" s="4" t="n">
        <v>85</v>
      </c>
      <c r="J45" s="4" t="n"/>
      <c r="K45" s="4" t="n">
        <v>50</v>
      </c>
      <c r="L45" s="12">
        <f>IFERROR(AVERAGEIF(D45,E45,F45,G45,H45,I45,"&lt;&gt;"),"")</f>
        <v/>
      </c>
    </row>
    <row r="46">
      <c r="A46" s="7" t="inlineStr">
        <is>
          <t>327790028</t>
        </is>
      </c>
      <c r="B46" s="7" t="inlineStr">
        <is>
          <t>אבו פני אדהם</t>
        </is>
      </c>
      <c r="C46" s="7" t="inlineStr">
        <is>
          <t>יא'5</t>
        </is>
      </c>
      <c r="D46" s="8" t="n">
        <v>98</v>
      </c>
      <c r="E46" s="8" t="n">
        <v>97</v>
      </c>
      <c r="F46" s="8" t="n">
        <v>90</v>
      </c>
      <c r="G46" s="8" t="n">
        <v>59</v>
      </c>
      <c r="H46" s="8" t="n">
        <v>59</v>
      </c>
      <c r="I46" s="8" t="n">
        <v>33</v>
      </c>
      <c r="J46" s="8" t="n">
        <v>82</v>
      </c>
      <c r="K46" s="8" t="n">
        <v>74</v>
      </c>
      <c r="L46" s="12">
        <f>IFERROR(AVERAGEIF(D46,E46,F46,G46,H46,I46,"&lt;&gt;"),"")</f>
        <v/>
      </c>
    </row>
    <row r="47">
      <c r="A47" s="7" t="inlineStr">
        <is>
          <t>218413235</t>
        </is>
      </c>
      <c r="B47" s="7" t="inlineStr">
        <is>
          <t>אדרי יוסף חיים</t>
        </is>
      </c>
      <c r="C47" s="7" t="inlineStr">
        <is>
          <t>יא'5</t>
        </is>
      </c>
      <c r="D47" s="4" t="n"/>
      <c r="E47" s="4" t="n">
        <v>70</v>
      </c>
      <c r="F47" s="4" t="n"/>
      <c r="G47" s="4" t="n"/>
      <c r="H47" s="4" t="n"/>
      <c r="I47" s="4" t="n">
        <v>75</v>
      </c>
      <c r="J47" s="4" t="n"/>
      <c r="K47" s="4" t="n"/>
      <c r="L47" s="12">
        <f>IFERROR(AVERAGEIF(D47,E47,F47,G47,H47,I47,"&lt;&gt;"),"")</f>
        <v/>
      </c>
    </row>
    <row r="48">
      <c r="A48" s="7" t="inlineStr">
        <is>
          <t>331828137</t>
        </is>
      </c>
      <c r="B48" s="7" t="inlineStr">
        <is>
          <t>אהרון נהוראי מאיר</t>
        </is>
      </c>
      <c r="C48" s="7" t="inlineStr">
        <is>
          <t>יא'5</t>
        </is>
      </c>
      <c r="D48" s="4" t="n"/>
      <c r="E48" s="4" t="n"/>
      <c r="F48" s="4" t="n"/>
      <c r="G48" s="4" t="n"/>
      <c r="H48" s="4" t="n"/>
      <c r="I48" s="4" t="n">
        <v>85</v>
      </c>
      <c r="J48" s="4" t="n"/>
      <c r="K48" s="4" t="n"/>
      <c r="L48" s="12">
        <f>IFERROR(AVERAGEIF(D48,E48,F48,G48,H48,I48,"&lt;&gt;"),"")</f>
        <v/>
      </c>
    </row>
    <row r="49">
      <c r="A49" s="7" t="inlineStr">
        <is>
          <t>333022994</t>
        </is>
      </c>
      <c r="B49" s="7" t="inlineStr">
        <is>
          <t>אמברבר מעיין</t>
        </is>
      </c>
      <c r="C49" s="7" t="inlineStr">
        <is>
          <t>יא'5</t>
        </is>
      </c>
      <c r="D49" s="4" t="n"/>
      <c r="E49" s="4" t="n">
        <v>49</v>
      </c>
      <c r="F49" s="4" t="n">
        <v>80</v>
      </c>
      <c r="G49" s="4" t="n">
        <v>60</v>
      </c>
      <c r="H49" s="4" t="n">
        <v>60</v>
      </c>
      <c r="I49" s="4" t="n">
        <v>49</v>
      </c>
      <c r="J49" s="4" t="n">
        <v>77</v>
      </c>
      <c r="K49" s="4" t="n">
        <v>50</v>
      </c>
      <c r="L49" s="12">
        <f>IFERROR(AVERAGEIF(D49,E49,F49,G49,H49,I49,"&lt;&gt;"),"")</f>
        <v/>
      </c>
    </row>
    <row r="50">
      <c r="A50" s="7" t="inlineStr">
        <is>
          <t>217817220</t>
        </is>
      </c>
      <c r="B50" s="7" t="inlineStr">
        <is>
          <t>ביטאו עילאי</t>
        </is>
      </c>
      <c r="C50" s="7" t="inlineStr">
        <is>
          <t>יא'5</t>
        </is>
      </c>
      <c r="D50" s="4" t="n">
        <v>91</v>
      </c>
      <c r="E50" s="4" t="n">
        <v>83</v>
      </c>
      <c r="F50" s="4" t="n">
        <v>90</v>
      </c>
      <c r="G50" s="4" t="n">
        <v>60</v>
      </c>
      <c r="H50" s="4" t="n">
        <v>43</v>
      </c>
      <c r="I50" s="4" t="n">
        <v>25</v>
      </c>
      <c r="J50" s="4" t="n">
        <v>69</v>
      </c>
      <c r="K50" s="4" t="n">
        <v>53</v>
      </c>
      <c r="L50" s="12">
        <f>IFERROR(AVERAGEIF(D50,E50,F50,G50,H50,I50,"&lt;&gt;"),"")</f>
        <v/>
      </c>
    </row>
    <row r="51">
      <c r="A51" s="7" t="inlineStr">
        <is>
          <t>217939529</t>
        </is>
      </c>
      <c r="B51" s="7" t="inlineStr">
        <is>
          <t>בן זיקרי ינון</t>
        </is>
      </c>
      <c r="C51" s="7" t="inlineStr">
        <is>
          <t>יא'5</t>
        </is>
      </c>
      <c r="D51" s="4" t="n"/>
      <c r="E51" s="4" t="n"/>
      <c r="F51" s="4" t="n"/>
      <c r="G51" s="4" t="n"/>
      <c r="H51" s="4" t="n"/>
      <c r="I51" s="4" t="n">
        <v>84</v>
      </c>
      <c r="J51" s="4" t="n"/>
      <c r="K51" s="4" t="n">
        <v>70</v>
      </c>
      <c r="L51" s="12">
        <f>IFERROR(AVERAGEIF(D51,E51,F51,G51,H51,I51,"&lt;&gt;"),"")</f>
        <v/>
      </c>
    </row>
    <row r="52">
      <c r="A52" s="7" t="inlineStr">
        <is>
          <t>333620128</t>
        </is>
      </c>
      <c r="B52" s="7" t="inlineStr">
        <is>
          <t>בן יוסף נועה</t>
        </is>
      </c>
      <c r="C52" s="7" t="inlineStr">
        <is>
          <t>יא'5</t>
        </is>
      </c>
      <c r="D52" s="4" t="n"/>
      <c r="E52" s="4" t="n"/>
      <c r="F52" s="4" t="n"/>
      <c r="G52" s="4" t="n"/>
      <c r="H52" s="4" t="n"/>
      <c r="I52" s="4" t="n">
        <v>81</v>
      </c>
      <c r="J52" s="4" t="n">
        <v>50</v>
      </c>
      <c r="K52" s="4" t="n">
        <v>50</v>
      </c>
      <c r="L52" s="12">
        <f>IFERROR(AVERAGEIF(D52,E52,F52,G52,H52,I52,"&lt;&gt;"),"")</f>
        <v/>
      </c>
    </row>
    <row r="53">
      <c r="A53" s="7" t="inlineStr">
        <is>
          <t>333295343</t>
        </is>
      </c>
      <c r="B53" s="7" t="inlineStr">
        <is>
          <t>גואיטה אגם</t>
        </is>
      </c>
      <c r="C53" s="7" t="inlineStr">
        <is>
          <t>יא'5</t>
        </is>
      </c>
      <c r="D53" s="4" t="n">
        <v>87</v>
      </c>
      <c r="E53" s="4" t="n">
        <v>96</v>
      </c>
      <c r="F53" s="4" t="n">
        <v>100</v>
      </c>
      <c r="G53" s="4" t="n">
        <v>87</v>
      </c>
      <c r="H53" s="4" t="n">
        <v>94</v>
      </c>
      <c r="I53" s="4" t="n">
        <v>12</v>
      </c>
      <c r="J53" s="4" t="n">
        <v>95</v>
      </c>
      <c r="K53" s="4" t="n">
        <v>100</v>
      </c>
      <c r="L53" s="12">
        <f>IFERROR(AVERAGEIF(D53,E53,F53,G53,H53,I53,"&lt;&gt;"),"")</f>
        <v/>
      </c>
    </row>
    <row r="54">
      <c r="A54" s="7" t="inlineStr">
        <is>
          <t>218778124</t>
        </is>
      </c>
      <c r="B54" s="7" t="inlineStr">
        <is>
          <t>הופס מי-דן דאר</t>
        </is>
      </c>
      <c r="C54" s="7" t="inlineStr">
        <is>
          <t>יא'5</t>
        </is>
      </c>
      <c r="D54" s="4" t="n">
        <v>91</v>
      </c>
      <c r="E54" s="4" t="n">
        <v>46</v>
      </c>
      <c r="F54" s="4" t="n">
        <v>80</v>
      </c>
      <c r="G54" s="4" t="n">
        <v>56</v>
      </c>
      <c r="H54" s="4" t="n">
        <v>60</v>
      </c>
      <c r="I54" s="4" t="n">
        <v>64</v>
      </c>
      <c r="J54" s="4" t="n">
        <v>51</v>
      </c>
      <c r="K54" s="4" t="n"/>
      <c r="L54" s="12">
        <f>IFERROR(AVERAGEIF(D54,E54,F54,G54,H54,I54,"&lt;&gt;"),"")</f>
        <v/>
      </c>
    </row>
    <row r="55">
      <c r="A55" s="7" t="inlineStr">
        <is>
          <t>333171304</t>
        </is>
      </c>
      <c r="B55" s="7" t="inlineStr">
        <is>
          <t>טל-אור ליה</t>
        </is>
      </c>
      <c r="C55" s="7" t="inlineStr">
        <is>
          <t>יא'5</t>
        </is>
      </c>
      <c r="D55" s="4" t="n">
        <v>87</v>
      </c>
      <c r="E55" s="4" t="n">
        <v>77</v>
      </c>
      <c r="F55" s="4" t="n">
        <v>90</v>
      </c>
      <c r="G55" s="4" t="n">
        <v>67</v>
      </c>
      <c r="H55" s="4" t="n">
        <v>53</v>
      </c>
      <c r="I55" s="4" t="n">
        <v>12</v>
      </c>
      <c r="J55" s="4" t="n">
        <v>69</v>
      </c>
      <c r="K55" s="4" t="n">
        <v>100</v>
      </c>
      <c r="L55" s="12">
        <f>IFERROR(AVERAGEIF(D55,E55,F55,G55,H55,I55,"&lt;&gt;"),"")</f>
        <v/>
      </c>
    </row>
    <row r="56">
      <c r="A56" s="7" t="inlineStr">
        <is>
          <t>333760544</t>
        </is>
      </c>
      <c r="B56" s="7" t="inlineStr">
        <is>
          <t>כהן אפק</t>
        </is>
      </c>
      <c r="C56" s="7" t="inlineStr">
        <is>
          <t>יא'5</t>
        </is>
      </c>
      <c r="D56" s="4" t="n">
        <v>87</v>
      </c>
      <c r="E56" s="4" t="n">
        <v>48</v>
      </c>
      <c r="F56" s="4" t="n">
        <v>100</v>
      </c>
      <c r="G56" s="4" t="n">
        <v>60</v>
      </c>
      <c r="H56" s="4" t="n">
        <v>69</v>
      </c>
      <c r="I56" s="4" t="n">
        <v>72</v>
      </c>
      <c r="J56" s="4" t="n">
        <v>64</v>
      </c>
      <c r="K56" s="4" t="n">
        <v>95</v>
      </c>
      <c r="L56" s="12">
        <f>IFERROR(AVERAGEIF(D56,E56,F56,G56,H56,I56,"&lt;&gt;"),"")</f>
        <v/>
      </c>
    </row>
    <row r="57">
      <c r="A57" s="7" t="inlineStr">
        <is>
          <t>312399801</t>
        </is>
      </c>
      <c r="B57" s="7" t="inlineStr">
        <is>
          <t>כהן נופר</t>
        </is>
      </c>
      <c r="C57" s="7" t="inlineStr">
        <is>
          <t>יא'5</t>
        </is>
      </c>
      <c r="D57" s="4" t="n">
        <v>88</v>
      </c>
      <c r="E57" s="4" t="n">
        <v>77</v>
      </c>
      <c r="F57" s="4" t="n">
        <v>100</v>
      </c>
      <c r="G57" s="4" t="n">
        <v>66</v>
      </c>
      <c r="H57" s="4" t="n">
        <v>70</v>
      </c>
      <c r="I57" s="4" t="n">
        <v>20</v>
      </c>
      <c r="J57" s="4" t="n">
        <v>85</v>
      </c>
      <c r="K57" s="4" t="n">
        <v>55</v>
      </c>
      <c r="L57" s="12">
        <f>IFERROR(AVERAGEIF(D57,E57,F57,G57,H57,I57,"&lt;&gt;"),"")</f>
        <v/>
      </c>
    </row>
    <row r="58">
      <c r="A58" s="7" t="inlineStr">
        <is>
          <t>332540202</t>
        </is>
      </c>
      <c r="B58" s="7" t="inlineStr">
        <is>
          <t>לרדו אגתה</t>
        </is>
      </c>
      <c r="C58" s="7" t="inlineStr">
        <is>
          <t>יא'5</t>
        </is>
      </c>
      <c r="D58" s="4" t="n">
        <v>79</v>
      </c>
      <c r="E58" s="4" t="n">
        <v>86</v>
      </c>
      <c r="F58" s="4" t="n">
        <v>100</v>
      </c>
      <c r="G58" s="4" t="n">
        <v>67</v>
      </c>
      <c r="H58" s="4" t="n">
        <v>72</v>
      </c>
      <c r="I58" s="4" t="n">
        <v>74</v>
      </c>
      <c r="J58" s="4" t="n">
        <v>87</v>
      </c>
      <c r="K58" s="4" t="n">
        <v>100</v>
      </c>
      <c r="L58" s="12">
        <f>IFERROR(AVERAGEIF(D58,E58,F58,G58,H58,I58,"&lt;&gt;"),"")</f>
        <v/>
      </c>
    </row>
    <row r="59">
      <c r="A59" s="7" t="inlineStr">
        <is>
          <t>333169514</t>
        </is>
      </c>
      <c r="B59" s="7" t="inlineStr">
        <is>
          <t>מלכה רפאל שלום</t>
        </is>
      </c>
      <c r="C59" s="7" t="inlineStr">
        <is>
          <t>יא'5</t>
        </is>
      </c>
      <c r="D59" s="4" t="n">
        <v>86</v>
      </c>
      <c r="E59" s="4" t="n">
        <v>45</v>
      </c>
      <c r="F59" s="4" t="n">
        <v>90</v>
      </c>
      <c r="G59" s="4" t="n">
        <v>50</v>
      </c>
      <c r="H59" s="4" t="n"/>
      <c r="I59" s="4" t="n">
        <v>45</v>
      </c>
      <c r="J59" s="4" t="n">
        <v>50</v>
      </c>
      <c r="K59" s="4" t="n"/>
      <c r="L59" s="12">
        <f>IFERROR(AVERAGEIF(D59,E59,F59,G59,H59,I59,"&lt;&gt;"),"")</f>
        <v/>
      </c>
    </row>
    <row r="60">
      <c r="A60" s="7" t="inlineStr">
        <is>
          <t>332893213</t>
        </is>
      </c>
      <c r="B60" s="7" t="inlineStr">
        <is>
          <t>מעטי אוריה</t>
        </is>
      </c>
      <c r="C60" s="7" t="inlineStr">
        <is>
          <t>יא'5</t>
        </is>
      </c>
      <c r="D60" s="8" t="n"/>
      <c r="E60" s="8" t="n"/>
      <c r="F60" s="8" t="n">
        <v>80</v>
      </c>
      <c r="G60" s="8" t="n">
        <v>57</v>
      </c>
      <c r="H60" s="8" t="n">
        <v>69</v>
      </c>
      <c r="I60" s="8" t="n">
        <v>45</v>
      </c>
      <c r="J60" s="8" t="n">
        <v>51</v>
      </c>
      <c r="K60" s="8" t="n"/>
      <c r="L60" s="12">
        <f>IFERROR(AVERAGEIF(D60,E60,F60,G60,H60,I60,"&lt;&gt;"),"")</f>
        <v/>
      </c>
    </row>
    <row r="61">
      <c r="A61" s="7" t="inlineStr">
        <is>
          <t>333139574</t>
        </is>
      </c>
      <c r="B61" s="7" t="inlineStr">
        <is>
          <t>סבג רומי אור</t>
        </is>
      </c>
      <c r="C61" s="7" t="inlineStr">
        <is>
          <t>יא'5</t>
        </is>
      </c>
      <c r="D61" s="4" t="n">
        <v>93</v>
      </c>
      <c r="E61" s="4" t="n">
        <v>50</v>
      </c>
      <c r="F61" s="4" t="n">
        <v>80</v>
      </c>
      <c r="G61" s="4" t="n">
        <v>58</v>
      </c>
      <c r="H61" s="4" t="n">
        <v>91</v>
      </c>
      <c r="I61" s="4" t="n">
        <v>29</v>
      </c>
      <c r="J61" s="4" t="n">
        <v>70</v>
      </c>
      <c r="K61" s="4" t="n"/>
      <c r="L61" s="12">
        <f>IFERROR(AVERAGEIF(D61,E61,F61,G61,H61,I61,"&lt;&gt;"),"")</f>
        <v/>
      </c>
    </row>
    <row r="62">
      <c r="A62" s="7" t="inlineStr"/>
      <c r="B62" s="7" t="inlineStr">
        <is>
          <t>סויסה אלין</t>
        </is>
      </c>
      <c r="C62" s="7" t="inlineStr">
        <is>
          <t>יא'5</t>
        </is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12">
        <f>IFERROR(AVERAGEIF(D62,E62,F62,G62,H62,I62,"&lt;&gt;"),"")</f>
        <v/>
      </c>
    </row>
    <row r="63">
      <c r="A63" s="7" t="inlineStr"/>
      <c r="B63" s="7" t="inlineStr">
        <is>
          <t>סרסור יסמינה</t>
        </is>
      </c>
      <c r="C63" s="7" t="inlineStr">
        <is>
          <t>יא'5</t>
        </is>
      </c>
      <c r="D63" s="4" t="n"/>
      <c r="E63" s="4" t="n">
        <v>78</v>
      </c>
      <c r="F63" s="4" t="n">
        <v>50</v>
      </c>
      <c r="G63" s="4" t="n">
        <v>51</v>
      </c>
      <c r="H63" s="4" t="n">
        <v>75</v>
      </c>
      <c r="I63" s="4" t="n">
        <v>45</v>
      </c>
      <c r="J63" s="4" t="n"/>
      <c r="K63" s="4" t="n">
        <v>80</v>
      </c>
      <c r="L63" s="12">
        <f>IFERROR(AVERAGEIF(D63,E63,F63,G63,H63,I63,"&lt;&gt;"),"")</f>
        <v/>
      </c>
    </row>
    <row r="64">
      <c r="A64" s="7" t="inlineStr">
        <is>
          <t>217425321</t>
        </is>
      </c>
      <c r="B64" s="7" t="inlineStr">
        <is>
          <t>צריקר נועם</t>
        </is>
      </c>
      <c r="C64" s="7" t="inlineStr">
        <is>
          <t>יא'5</t>
        </is>
      </c>
      <c r="D64" s="4" t="n">
        <v>92</v>
      </c>
      <c r="E64" s="4" t="n">
        <v>91</v>
      </c>
      <c r="F64" s="4" t="n">
        <v>90</v>
      </c>
      <c r="G64" s="4" t="n">
        <v>67</v>
      </c>
      <c r="H64" s="4" t="n">
        <v>100</v>
      </c>
      <c r="I64" s="4" t="n">
        <v>13</v>
      </c>
      <c r="J64" s="4" t="n">
        <v>73</v>
      </c>
      <c r="K64" s="4" t="n">
        <v>94</v>
      </c>
      <c r="L64" s="12">
        <f>IFERROR(AVERAGEIF(D64,E64,F64,G64,H64,I64,"&lt;&gt;"),"")</f>
        <v/>
      </c>
    </row>
    <row r="65">
      <c r="A65" s="7" t="inlineStr"/>
      <c r="B65" s="7" t="inlineStr">
        <is>
          <t>קונטררס קריא אילנה ולנטינה</t>
        </is>
      </c>
      <c r="C65" s="7" t="inlineStr">
        <is>
          <t>יא'5</t>
        </is>
      </c>
      <c r="D65" s="4" t="n">
        <v>86</v>
      </c>
      <c r="E65" s="4" t="n">
        <v>94</v>
      </c>
      <c r="F65" s="4" t="n">
        <v>100</v>
      </c>
      <c r="G65" s="4" t="n">
        <v>69</v>
      </c>
      <c r="H65" s="4" t="n">
        <v>100</v>
      </c>
      <c r="I65" s="4" t="n">
        <v>28</v>
      </c>
      <c r="J65" s="4" t="n">
        <v>74</v>
      </c>
      <c r="K65" s="4" t="n">
        <v>100</v>
      </c>
      <c r="L65" s="12">
        <f>IFERROR(AVERAGEIF(D65,E65,F65,G65,H65,I65,"&lt;&gt;"),"")</f>
        <v/>
      </c>
    </row>
    <row r="66">
      <c r="A66" s="7" t="inlineStr">
        <is>
          <t>333183259</t>
        </is>
      </c>
      <c r="B66" s="7" t="inlineStr">
        <is>
          <t>רוי אמיליה</t>
        </is>
      </c>
      <c r="C66" s="7" t="inlineStr">
        <is>
          <t>יא'5</t>
        </is>
      </c>
      <c r="D66" s="4" t="n">
        <v>91</v>
      </c>
      <c r="E66" s="4" t="n">
        <v>91</v>
      </c>
      <c r="F66" s="4" t="n">
        <v>90</v>
      </c>
      <c r="G66" s="4" t="n">
        <v>81</v>
      </c>
      <c r="H66" s="4" t="n">
        <v>100</v>
      </c>
      <c r="I66" s="4" t="n">
        <v>56</v>
      </c>
      <c r="J66" s="4" t="n">
        <v>88</v>
      </c>
      <c r="K66" s="4" t="n">
        <v>100</v>
      </c>
      <c r="L66" s="12">
        <f>IFERROR(AVERAGEIF(D66,E66,F66,G66,H66,I66,"&lt;&gt;"),"")</f>
        <v/>
      </c>
    </row>
    <row r="67">
      <c r="A67" s="7" t="inlineStr">
        <is>
          <t>333060366</t>
        </is>
      </c>
      <c r="B67" s="7" t="inlineStr">
        <is>
          <t>שטר אפרת דבורה</t>
        </is>
      </c>
      <c r="C67" s="7" t="inlineStr">
        <is>
          <t>יא'5</t>
        </is>
      </c>
      <c r="D67" s="4" t="n">
        <v>91</v>
      </c>
      <c r="E67" s="4" t="n">
        <v>90</v>
      </c>
      <c r="F67" s="4" t="n">
        <v>100</v>
      </c>
      <c r="G67" s="4" t="n">
        <v>76</v>
      </c>
      <c r="H67" s="4" t="n">
        <v>100</v>
      </c>
      <c r="I67" s="4" t="n">
        <v>96</v>
      </c>
      <c r="J67" s="4" t="n">
        <v>64</v>
      </c>
      <c r="K67" s="4" t="n">
        <v>100</v>
      </c>
      <c r="L67" s="12">
        <f>IFERROR(AVERAGEIF(D67,E67,F67,G67,H67,I67,"&lt;&gt;"),"")</f>
        <v/>
      </c>
    </row>
    <row r="68">
      <c r="A68" s="7" t="inlineStr">
        <is>
          <t>217807361</t>
        </is>
      </c>
      <c r="B68" s="7" t="inlineStr">
        <is>
          <t>בן עטר ארד</t>
        </is>
      </c>
      <c r="C68" s="7" t="inlineStr">
        <is>
          <t>יא'6</t>
        </is>
      </c>
      <c r="D68" s="4" t="n"/>
      <c r="E68" s="4" t="n">
        <v>90</v>
      </c>
      <c r="F68" s="4" t="n">
        <v>100</v>
      </c>
      <c r="G68" s="4" t="n">
        <v>98</v>
      </c>
      <c r="H68" s="4" t="n">
        <v>62</v>
      </c>
      <c r="I68" s="4" t="n">
        <v>35</v>
      </c>
      <c r="J68" s="4" t="n">
        <v>81</v>
      </c>
      <c r="K68" s="4" t="n">
        <v>80</v>
      </c>
      <c r="L68" s="12">
        <f>IFERROR(AVERAGEIF(D68,E68,F68,G68,H68,I68,"&lt;&gt;"),"")</f>
        <v/>
      </c>
    </row>
    <row r="69">
      <c r="A69" s="7" t="inlineStr">
        <is>
          <t>333693950</t>
        </is>
      </c>
      <c r="B69" s="7" t="inlineStr">
        <is>
          <t>בן-יצחק יובל</t>
        </is>
      </c>
      <c r="C69" s="7" t="inlineStr">
        <is>
          <t>יא'6</t>
        </is>
      </c>
      <c r="D69" s="4" t="n"/>
      <c r="E69" s="4" t="n">
        <v>94</v>
      </c>
      <c r="F69" s="4" t="n">
        <v>100</v>
      </c>
      <c r="G69" s="4" t="n">
        <v>73</v>
      </c>
      <c r="H69" s="4" t="n">
        <v>75</v>
      </c>
      <c r="I69" s="4" t="n">
        <v>19</v>
      </c>
      <c r="J69" s="4" t="n">
        <v>72</v>
      </c>
      <c r="K69" s="4" t="n">
        <v>80</v>
      </c>
      <c r="L69" s="12">
        <f>IFERROR(AVERAGEIF(D69,E69,F69,G69,H69,I69,"&lt;&gt;"),"")</f>
        <v/>
      </c>
    </row>
    <row r="70">
      <c r="A70" s="7" t="inlineStr">
        <is>
          <t>218068807</t>
        </is>
      </c>
      <c r="B70" s="7" t="inlineStr">
        <is>
          <t>גבאי שגב</t>
        </is>
      </c>
      <c r="C70" s="7" t="inlineStr">
        <is>
          <t>יא'6</t>
        </is>
      </c>
      <c r="D70" s="4" t="n"/>
      <c r="E70" s="4" t="n"/>
      <c r="F70" s="4" t="n">
        <v>100</v>
      </c>
      <c r="G70" s="4" t="n">
        <v>98</v>
      </c>
      <c r="H70" s="4" t="n">
        <v>59</v>
      </c>
      <c r="I70" s="4" t="n">
        <v>20</v>
      </c>
      <c r="J70" s="4" t="n">
        <v>49</v>
      </c>
      <c r="K70" s="4" t="n">
        <v>80</v>
      </c>
      <c r="L70" s="12">
        <f>IFERROR(AVERAGEIF(D70,E70,F70,G70,H70,I70,"&lt;&gt;"),"")</f>
        <v/>
      </c>
    </row>
    <row r="71">
      <c r="A71" s="7" t="inlineStr">
        <is>
          <t>218773927</t>
        </is>
      </c>
      <c r="B71" s="7" t="inlineStr">
        <is>
          <t>גולדנברג שי-אל פריידה</t>
        </is>
      </c>
      <c r="C71" s="7" t="inlineStr">
        <is>
          <t>יא'6</t>
        </is>
      </c>
      <c r="D71" s="4" t="n"/>
      <c r="E71" s="4" t="n">
        <v>92</v>
      </c>
      <c r="F71" s="4" t="n">
        <v>100</v>
      </c>
      <c r="G71" s="4" t="n">
        <v>80</v>
      </c>
      <c r="H71" s="4" t="n">
        <v>48</v>
      </c>
      <c r="I71" s="4" t="n">
        <v>23</v>
      </c>
      <c r="J71" s="4" t="n">
        <v>81</v>
      </c>
      <c r="K71" s="4" t="n">
        <v>90</v>
      </c>
      <c r="L71" s="12">
        <f>IFERROR(AVERAGEIF(D71,E71,F71,G71,H71,I71,"&lt;&gt;"),"")</f>
        <v/>
      </c>
    </row>
    <row r="72">
      <c r="A72" s="7" t="inlineStr">
        <is>
          <t>218914430</t>
        </is>
      </c>
      <c r="B72" s="7" t="inlineStr">
        <is>
          <t>דורי אלה</t>
        </is>
      </c>
      <c r="C72" s="7" t="inlineStr">
        <is>
          <t>יא'6</t>
        </is>
      </c>
      <c r="D72" s="4" t="n"/>
      <c r="E72" s="4" t="n">
        <v>92</v>
      </c>
      <c r="F72" s="4" t="n">
        <v>100</v>
      </c>
      <c r="G72" s="4" t="n">
        <v>93</v>
      </c>
      <c r="H72" s="4" t="n">
        <v>63</v>
      </c>
      <c r="I72" s="4" t="n">
        <v>86</v>
      </c>
      <c r="J72" s="4" t="n">
        <v>78</v>
      </c>
      <c r="K72" s="4" t="n">
        <v>89</v>
      </c>
      <c r="L72" s="12">
        <f>IFERROR(AVERAGEIF(D72,E72,F72,G72,H72,I72,"&lt;&gt;"),"")</f>
        <v/>
      </c>
    </row>
    <row r="73">
      <c r="A73" s="7" t="inlineStr">
        <is>
          <t>217885219</t>
        </is>
      </c>
      <c r="B73" s="7" t="inlineStr">
        <is>
          <t>דקל טומי</t>
        </is>
      </c>
      <c r="C73" s="7" t="inlineStr">
        <is>
          <t>יא'6</t>
        </is>
      </c>
      <c r="D73" s="4" t="n"/>
      <c r="E73" s="4" t="n">
        <v>93</v>
      </c>
      <c r="F73" s="4" t="n">
        <v>100</v>
      </c>
      <c r="G73" s="4" t="n">
        <v>86</v>
      </c>
      <c r="H73" s="4" t="n">
        <v>100</v>
      </c>
      <c r="I73" s="4" t="n">
        <v>30</v>
      </c>
      <c r="J73" s="4" t="n">
        <v>56</v>
      </c>
      <c r="K73" s="4" t="n">
        <v>95</v>
      </c>
      <c r="L73" s="12">
        <f>IFERROR(AVERAGEIF(D73,E73,F73,G73,H73,I73,"&lt;&gt;"),"")</f>
        <v/>
      </c>
    </row>
    <row r="74">
      <c r="A74" s="7" t="inlineStr">
        <is>
          <t>334125614</t>
        </is>
      </c>
      <c r="B74" s="7" t="inlineStr">
        <is>
          <t>וקנין הלל</t>
        </is>
      </c>
      <c r="C74" s="7" t="inlineStr">
        <is>
          <t>יא'6</t>
        </is>
      </c>
      <c r="D74" s="4" t="n"/>
      <c r="E74" s="4" t="n">
        <v>92</v>
      </c>
      <c r="F74" s="4" t="n">
        <v>100</v>
      </c>
      <c r="G74" s="4" t="n">
        <v>94</v>
      </c>
      <c r="H74" s="4" t="n">
        <v>81</v>
      </c>
      <c r="I74" s="4" t="n">
        <v>15</v>
      </c>
      <c r="J74" s="4" t="n">
        <v>89</v>
      </c>
      <c r="K74" s="4" t="n">
        <v>90</v>
      </c>
      <c r="L74" s="12">
        <f>IFERROR(AVERAGEIF(D74,E74,F74,G74,H74,I74,"&lt;&gt;"),"")</f>
        <v/>
      </c>
    </row>
    <row r="75">
      <c r="A75" s="7" t="inlineStr">
        <is>
          <t>218143352</t>
        </is>
      </c>
      <c r="B75" s="7" t="inlineStr">
        <is>
          <t>וקנין ינון אליה</t>
        </is>
      </c>
      <c r="C75" s="7" t="inlineStr">
        <is>
          <t>יא'6</t>
        </is>
      </c>
      <c r="D75" s="4" t="n"/>
      <c r="E75" s="4" t="n">
        <v>96</v>
      </c>
      <c r="F75" s="4" t="n">
        <v>100</v>
      </c>
      <c r="G75" s="4" t="n">
        <v>81</v>
      </c>
      <c r="H75" s="4" t="n">
        <v>85</v>
      </c>
      <c r="I75" s="4" t="n">
        <v>97</v>
      </c>
      <c r="J75" s="4" t="n">
        <v>84</v>
      </c>
      <c r="K75" s="4" t="n">
        <v>95</v>
      </c>
      <c r="L75" s="12">
        <f>IFERROR(AVERAGEIF(D75,E75,F75,G75,H75,I75,"&lt;&gt;"),"")</f>
        <v/>
      </c>
    </row>
    <row r="76">
      <c r="A76" s="7" t="inlineStr">
        <is>
          <t>333591568</t>
        </is>
      </c>
      <c r="B76" s="7" t="inlineStr">
        <is>
          <t>יעקבי אלה</t>
        </is>
      </c>
      <c r="C76" s="7" t="inlineStr">
        <is>
          <t>יא'6</t>
        </is>
      </c>
      <c r="D76" s="4" t="n"/>
      <c r="E76" s="4" t="n">
        <v>94</v>
      </c>
      <c r="F76" s="4" t="n">
        <v>100</v>
      </c>
      <c r="G76" s="4" t="n">
        <v>95</v>
      </c>
      <c r="H76" s="4" t="n">
        <v>74</v>
      </c>
      <c r="I76" s="4" t="n">
        <v>69</v>
      </c>
      <c r="J76" s="4" t="n">
        <v>94</v>
      </c>
      <c r="K76" s="4" t="n">
        <v>90</v>
      </c>
      <c r="L76" s="12">
        <f>IFERROR(AVERAGEIF(D76,E76,F76,G76,H76,I76,"&lt;&gt;"),"")</f>
        <v/>
      </c>
    </row>
    <row r="77">
      <c r="A77" s="7" t="inlineStr">
        <is>
          <t>333689735</t>
        </is>
      </c>
      <c r="B77" s="7" t="inlineStr">
        <is>
          <t>יצחקי תהל</t>
        </is>
      </c>
      <c r="C77" s="7" t="inlineStr">
        <is>
          <t>יא'6</t>
        </is>
      </c>
      <c r="D77" s="4" t="n"/>
      <c r="E77" s="4" t="n">
        <v>58</v>
      </c>
      <c r="F77" s="4" t="n">
        <v>100</v>
      </c>
      <c r="G77" s="4" t="n">
        <v>58</v>
      </c>
      <c r="H77" s="4" t="n">
        <v>94</v>
      </c>
      <c r="I77" s="4" t="n">
        <v>37</v>
      </c>
      <c r="J77" s="4" t="n">
        <v>75</v>
      </c>
      <c r="K77" s="4" t="n">
        <v>70</v>
      </c>
      <c r="L77" s="12">
        <f>IFERROR(AVERAGEIF(D77,E77,F77,G77,H77,I77,"&lt;&gt;"),"")</f>
        <v/>
      </c>
    </row>
    <row r="78">
      <c r="A78" s="7" t="inlineStr">
        <is>
          <t>218533115</t>
        </is>
      </c>
      <c r="B78" s="7" t="inlineStr">
        <is>
          <t>כהן ליעד</t>
        </is>
      </c>
      <c r="C78" s="7" t="inlineStr">
        <is>
          <t>יא'6</t>
        </is>
      </c>
      <c r="D78" s="4" t="n"/>
      <c r="E78" s="4" t="n">
        <v>89</v>
      </c>
      <c r="F78" s="4" t="n">
        <v>100</v>
      </c>
      <c r="G78" s="4" t="n">
        <v>84</v>
      </c>
      <c r="H78" s="4" t="n">
        <v>92</v>
      </c>
      <c r="I78" s="4" t="n">
        <v>99</v>
      </c>
      <c r="J78" s="4" t="n">
        <v>96</v>
      </c>
      <c r="K78" s="4" t="n">
        <v>51</v>
      </c>
      <c r="L78" s="12">
        <f>IFERROR(AVERAGEIF(D78,E78,F78,G78,H78,I78,"&lt;&gt;"),"")</f>
        <v/>
      </c>
    </row>
    <row r="79">
      <c r="A79" s="7" t="inlineStr"/>
      <c r="B79" s="7" t="inlineStr">
        <is>
          <t>לזרוביץ ביטו דור</t>
        </is>
      </c>
      <c r="C79" s="7" t="inlineStr">
        <is>
          <t>יא'6</t>
        </is>
      </c>
      <c r="D79" s="8" t="n"/>
      <c r="E79" s="8" t="n"/>
      <c r="F79" s="8" t="n"/>
      <c r="G79" s="8" t="n"/>
      <c r="H79" s="8" t="n"/>
      <c r="I79" s="8" t="n">
        <v>81</v>
      </c>
      <c r="J79" s="8" t="n"/>
      <c r="K79" s="8" t="n"/>
      <c r="L79" s="12">
        <f>IFERROR(AVERAGEIF(D79,E79,F79,G79,H79,I79,"&lt;&gt;"),"")</f>
        <v/>
      </c>
    </row>
    <row r="80">
      <c r="A80" s="7" t="inlineStr">
        <is>
          <t>218865681</t>
        </is>
      </c>
      <c r="B80" s="7" t="inlineStr">
        <is>
          <t>משין מישל</t>
        </is>
      </c>
      <c r="C80" s="7" t="inlineStr">
        <is>
          <t>יא'6</t>
        </is>
      </c>
      <c r="D80" s="4" t="n"/>
      <c r="E80" s="4" t="n">
        <v>74</v>
      </c>
      <c r="F80" s="4" t="n">
        <v>100</v>
      </c>
      <c r="G80" s="4" t="n">
        <v>66</v>
      </c>
      <c r="H80" s="4" t="n">
        <v>69</v>
      </c>
      <c r="I80" s="4" t="n">
        <v>32</v>
      </c>
      <c r="J80" s="4" t="n">
        <v>73</v>
      </c>
      <c r="K80" s="4" t="n">
        <v>96</v>
      </c>
      <c r="L80" s="12">
        <f>IFERROR(AVERAGEIF(D80,E80,F80,G80,H80,I80,"&lt;&gt;"),"")</f>
        <v/>
      </c>
    </row>
    <row r="81">
      <c r="A81" s="7" t="inlineStr">
        <is>
          <t>333615045</t>
        </is>
      </c>
      <c r="B81" s="7" t="inlineStr">
        <is>
          <t>סבאג יהלי אליס</t>
        </is>
      </c>
      <c r="C81" s="7" t="inlineStr">
        <is>
          <t>יא'6</t>
        </is>
      </c>
      <c r="D81" s="4" t="n"/>
      <c r="E81" s="4" t="n">
        <v>86</v>
      </c>
      <c r="F81" s="4" t="n">
        <v>100</v>
      </c>
      <c r="G81" s="4" t="n">
        <v>98</v>
      </c>
      <c r="H81" s="4" t="n">
        <v>57</v>
      </c>
      <c r="I81" s="4" t="n">
        <v>27</v>
      </c>
      <c r="J81" s="4" t="n">
        <v>87</v>
      </c>
      <c r="K81" s="4" t="n">
        <v>57</v>
      </c>
      <c r="L81" s="12">
        <f>IFERROR(AVERAGEIF(D81,E81,F81,G81,H81,I81,"&lt;&gt;"),"")</f>
        <v/>
      </c>
    </row>
    <row r="82">
      <c r="A82" s="7" t="inlineStr">
        <is>
          <t>337761845</t>
        </is>
      </c>
      <c r="B82" s="7" t="inlineStr">
        <is>
          <t>סבוסקין ורוניקה</t>
        </is>
      </c>
      <c r="C82" s="7" t="inlineStr">
        <is>
          <t>יא'6</t>
        </is>
      </c>
      <c r="D82" s="4" t="n"/>
      <c r="E82" s="4" t="n">
        <v>88</v>
      </c>
      <c r="F82" s="4" t="n">
        <v>100</v>
      </c>
      <c r="G82" s="4" t="n">
        <v>59</v>
      </c>
      <c r="H82" s="4" t="n">
        <v>100</v>
      </c>
      <c r="I82" s="4" t="n">
        <v>20</v>
      </c>
      <c r="J82" s="4" t="n">
        <v>75</v>
      </c>
      <c r="K82" s="4" t="n">
        <v>87</v>
      </c>
      <c r="L82" s="12">
        <f>IFERROR(AVERAGEIF(D82,E82,F82,G82,H82,I82,"&lt;&gt;"),"")</f>
        <v/>
      </c>
    </row>
    <row r="83">
      <c r="A83" s="7" t="inlineStr">
        <is>
          <t>217869049</t>
        </is>
      </c>
      <c r="B83" s="7" t="inlineStr">
        <is>
          <t>קגן מאריאל</t>
        </is>
      </c>
      <c r="C83" s="7" t="inlineStr">
        <is>
          <t>יא'6</t>
        </is>
      </c>
      <c r="D83" s="4" t="n"/>
      <c r="E83" s="4" t="n">
        <v>45</v>
      </c>
      <c r="F83" s="4" t="n">
        <v>56</v>
      </c>
      <c r="G83" s="4" t="n"/>
      <c r="H83" s="4" t="n"/>
      <c r="I83" s="4" t="n">
        <v>33</v>
      </c>
      <c r="J83" s="4" t="n">
        <v>60</v>
      </c>
      <c r="K83" s="4" t="n">
        <v>89</v>
      </c>
      <c r="L83" s="12">
        <f>IFERROR(AVERAGEIF(D83,E83,F83,G83,H83,I83,"&lt;&gt;"),"")</f>
        <v/>
      </c>
    </row>
    <row r="84">
      <c r="A84" s="7" t="inlineStr">
        <is>
          <t>332145028</t>
        </is>
      </c>
      <c r="B84" s="7" t="inlineStr">
        <is>
          <t>קולט מאי</t>
        </is>
      </c>
      <c r="C84" s="7" t="inlineStr">
        <is>
          <t>יא'6</t>
        </is>
      </c>
      <c r="D84" s="4" t="n"/>
      <c r="E84" s="4" t="n">
        <v>87</v>
      </c>
      <c r="F84" s="4" t="n">
        <v>100</v>
      </c>
      <c r="G84" s="4" t="n">
        <v>84</v>
      </c>
      <c r="H84" s="4" t="n">
        <v>98</v>
      </c>
      <c r="I84" s="4" t="n">
        <v>11</v>
      </c>
      <c r="J84" s="4" t="n">
        <v>71</v>
      </c>
      <c r="K84" s="4" t="n">
        <v>100</v>
      </c>
      <c r="L84" s="12">
        <f>IFERROR(AVERAGEIF(D84,E84,F84,G84,H84,I84,"&lt;&gt;"),"")</f>
        <v/>
      </c>
    </row>
    <row r="85">
      <c r="A85" s="7" t="inlineStr">
        <is>
          <t>218673648</t>
        </is>
      </c>
      <c r="B85" s="7" t="inlineStr">
        <is>
          <t>רביד יואב</t>
        </is>
      </c>
      <c r="C85" s="7" t="inlineStr">
        <is>
          <t>יא'6</t>
        </is>
      </c>
      <c r="D85" s="4" t="n"/>
      <c r="E85" s="4" t="n">
        <v>96</v>
      </c>
      <c r="F85" s="4" t="n">
        <v>100</v>
      </c>
      <c r="G85" s="4" t="n">
        <v>98</v>
      </c>
      <c r="H85" s="4" t="n">
        <v>41</v>
      </c>
      <c r="I85" s="4" t="n">
        <v>31</v>
      </c>
      <c r="J85" s="4" t="n">
        <v>76</v>
      </c>
      <c r="K85" s="4" t="n">
        <v>80</v>
      </c>
      <c r="L85" s="12">
        <f>IFERROR(AVERAGEIF(D85,E85,F85,G85,H85,I85,"&lt;&gt;"),"")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7" customWidth="1" min="3" max="3"/>
    <col width="7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5" customHeight="1">
      <c r="A1" s="5" t="inlineStr">
        <is>
          <t>תעודת זהות</t>
        </is>
      </c>
      <c r="B1" s="5" t="inlineStr">
        <is>
          <t>שם מלא</t>
        </is>
      </c>
      <c r="C1" s="5" t="inlineStr">
        <is>
          <t>כיתה</t>
        </is>
      </c>
      <c r="D1" s="5" t="inlineStr">
        <is>
          <t>חינ"מ</t>
        </is>
      </c>
      <c r="E1" s="5" t="inlineStr">
        <is>
          <t>נוכחות %</t>
        </is>
      </c>
      <c r="F1" s="5" t="inlineStr">
        <is>
          <t>סיכוי בגרות</t>
        </is>
      </c>
      <c r="G1" s="5" t="inlineStr">
        <is>
          <t>רמת סיכון</t>
        </is>
      </c>
      <c r="H1" s="5" t="inlineStr">
        <is>
          <t>לשון</t>
        </is>
      </c>
      <c r="I1" s="5" t="inlineStr">
        <is>
          <t>תנ"ך</t>
        </is>
      </c>
      <c r="J1" s="5" t="inlineStr">
        <is>
          <t>היסטוריה</t>
        </is>
      </c>
      <c r="K1" s="5" t="inlineStr">
        <is>
          <t>אנגלית</t>
        </is>
      </c>
      <c r="L1" s="5" t="inlineStr">
        <is>
          <t>מתמטיקה</t>
        </is>
      </c>
      <c r="M1" s="5" t="inlineStr">
        <is>
          <t>ציוני תעודה</t>
        </is>
      </c>
      <c r="N1" s="5" t="inlineStr">
        <is>
          <t>נוכחות</t>
        </is>
      </c>
    </row>
    <row r="2">
      <c r="A2" s="13" t="inlineStr">
        <is>
          <t>332006857</t>
        </is>
      </c>
      <c r="B2" s="14" t="inlineStr">
        <is>
          <t>עומסי אור</t>
        </is>
      </c>
      <c r="C2" s="13" t="inlineStr">
        <is>
          <t>יא'1</t>
        </is>
      </c>
      <c r="D2" s="13" t="inlineStr"/>
      <c r="E2" s="13" t="n">
        <v>43</v>
      </c>
      <c r="F2" s="13" t="n">
        <v>25.7</v>
      </c>
      <c r="G2" s="13" t="inlineStr">
        <is>
          <t>גבוה מאוד</t>
        </is>
      </c>
      <c r="H2" s="13" t="n">
        <v>0</v>
      </c>
      <c r="I2" s="13" t="n">
        <v>0</v>
      </c>
      <c r="J2" s="13" t="n">
        <v>100</v>
      </c>
      <c r="K2" s="13" t="n">
        <v>60</v>
      </c>
      <c r="L2" s="13" t="n">
        <v>35</v>
      </c>
      <c r="M2" s="13" t="n">
        <v>25</v>
      </c>
      <c r="N2" s="13" t="n">
        <v>25</v>
      </c>
    </row>
    <row r="3">
      <c r="A3" s="13" t="inlineStr">
        <is>
          <t>333139582</t>
        </is>
      </c>
      <c r="B3" s="14" t="inlineStr">
        <is>
          <t>סבג מאי</t>
        </is>
      </c>
      <c r="C3" s="13" t="inlineStr">
        <is>
          <t>יא'1</t>
        </is>
      </c>
      <c r="D3" s="13" t="inlineStr"/>
      <c r="E3" s="13" t="n">
        <v>53</v>
      </c>
      <c r="F3" s="13" t="n">
        <v>27.1</v>
      </c>
      <c r="G3" s="13" t="inlineStr">
        <is>
          <t>גבוה מאוד</t>
        </is>
      </c>
      <c r="H3" s="13" t="n">
        <v>0</v>
      </c>
      <c r="I3" s="13" t="n">
        <v>0</v>
      </c>
      <c r="J3" s="13" t="n">
        <v>100</v>
      </c>
      <c r="K3" s="13" t="n">
        <v>60</v>
      </c>
      <c r="L3" s="13" t="n">
        <v>70</v>
      </c>
      <c r="M3" s="13" t="n">
        <v>25</v>
      </c>
      <c r="N3" s="13" t="n">
        <v>25</v>
      </c>
    </row>
    <row r="4">
      <c r="A4" s="13" t="inlineStr">
        <is>
          <t>218597250</t>
        </is>
      </c>
      <c r="B4" s="14" t="inlineStr">
        <is>
          <t>מורציאנו לינוי</t>
        </is>
      </c>
      <c r="C4" s="13" t="inlineStr">
        <is>
          <t>יא'1</t>
        </is>
      </c>
      <c r="D4" s="13" t="inlineStr"/>
      <c r="E4" s="13" t="n">
        <v>49</v>
      </c>
      <c r="F4" s="13" t="n">
        <v>30.1</v>
      </c>
      <c r="G4" s="13" t="inlineStr">
        <is>
          <t>גבוה מאוד</t>
        </is>
      </c>
      <c r="H4" s="13" t="n">
        <v>0</v>
      </c>
      <c r="I4" s="13" t="n">
        <v>0</v>
      </c>
      <c r="J4" s="13" t="n">
        <v>100</v>
      </c>
      <c r="K4" s="13" t="n">
        <v>50</v>
      </c>
      <c r="L4" s="13" t="n">
        <v>85</v>
      </c>
      <c r="M4" s="13" t="n">
        <v>50</v>
      </c>
      <c r="N4" s="13" t="n">
        <v>25</v>
      </c>
    </row>
    <row r="5">
      <c r="A5" s="13" t="inlineStr"/>
      <c r="B5" s="14" t="inlineStr">
        <is>
          <t>סרסור יסמינה</t>
        </is>
      </c>
      <c r="C5" s="13" t="inlineStr">
        <is>
          <t>יא'5</t>
        </is>
      </c>
      <c r="D5" s="13" t="inlineStr"/>
      <c r="E5" s="13" t="n">
        <v>55</v>
      </c>
      <c r="F5" s="13" t="n">
        <v>30.9</v>
      </c>
      <c r="G5" s="13" t="inlineStr">
        <is>
          <t>גבוה מאוד</t>
        </is>
      </c>
      <c r="H5" s="13" t="n">
        <v>0</v>
      </c>
      <c r="I5" s="13" t="n">
        <v>0</v>
      </c>
      <c r="J5" s="13" t="n">
        <v>100</v>
      </c>
      <c r="K5" s="13" t="n">
        <v>80</v>
      </c>
      <c r="L5" s="13" t="n">
        <v>35</v>
      </c>
      <c r="M5" s="13" t="n">
        <v>50</v>
      </c>
      <c r="N5" s="13" t="n">
        <v>25</v>
      </c>
    </row>
    <row r="6">
      <c r="A6" s="13" t="inlineStr">
        <is>
          <t>218578367</t>
        </is>
      </c>
      <c r="B6" s="14" t="inlineStr">
        <is>
          <t>ישראל נוגה</t>
        </is>
      </c>
      <c r="C6" s="13" t="inlineStr">
        <is>
          <t>יא'4</t>
        </is>
      </c>
      <c r="D6" s="13" t="inlineStr"/>
      <c r="E6" s="13" t="n">
        <v>27</v>
      </c>
      <c r="F6" s="13" t="n">
        <v>31.1</v>
      </c>
      <c r="G6" s="13" t="inlineStr">
        <is>
          <t>גבוה מאוד</t>
        </is>
      </c>
      <c r="H6" s="13" t="n">
        <v>0</v>
      </c>
      <c r="I6" s="13" t="n">
        <v>100</v>
      </c>
      <c r="J6" s="13" t="n">
        <v>100</v>
      </c>
      <c r="K6" s="13" t="n">
        <v>60</v>
      </c>
      <c r="L6" s="13" t="n">
        <v>65</v>
      </c>
      <c r="M6" s="13" t="n">
        <v>25</v>
      </c>
      <c r="N6" s="13" t="n">
        <v>25</v>
      </c>
    </row>
    <row r="7">
      <c r="A7" s="13" t="inlineStr">
        <is>
          <t>218155570</t>
        </is>
      </c>
      <c r="B7" s="14" t="inlineStr">
        <is>
          <t>אלחרר דביר</t>
        </is>
      </c>
      <c r="C7" s="13" t="inlineStr">
        <is>
          <t>יא'1</t>
        </is>
      </c>
      <c r="D7" s="13" t="inlineStr"/>
      <c r="E7" s="13" t="n">
        <v>49</v>
      </c>
      <c r="F7" s="13" t="n">
        <v>32.4</v>
      </c>
      <c r="G7" s="13" t="inlineStr">
        <is>
          <t>גבוה מאוד</t>
        </is>
      </c>
      <c r="H7" s="13" t="n">
        <v>0</v>
      </c>
      <c r="I7" s="13" t="n">
        <v>0</v>
      </c>
      <c r="J7" s="13" t="n">
        <v>100</v>
      </c>
      <c r="K7" s="13" t="n">
        <v>60</v>
      </c>
      <c r="L7" s="13" t="n">
        <v>85</v>
      </c>
      <c r="M7" s="13" t="n">
        <v>50</v>
      </c>
      <c r="N7" s="13" t="n">
        <v>25</v>
      </c>
    </row>
    <row r="8">
      <c r="A8" s="13" t="inlineStr">
        <is>
          <t>333202471</t>
        </is>
      </c>
      <c r="B8" s="14" t="inlineStr">
        <is>
          <t>בכר לליה מליסה</t>
        </is>
      </c>
      <c r="C8" s="13" t="inlineStr">
        <is>
          <t>יא'4</t>
        </is>
      </c>
      <c r="D8" s="13" t="inlineStr"/>
      <c r="E8" s="13" t="n">
        <v>58</v>
      </c>
      <c r="F8" s="13" t="n">
        <v>34.7</v>
      </c>
      <c r="G8" s="13" t="inlineStr">
        <is>
          <t>גבוה מאוד</t>
        </is>
      </c>
      <c r="H8" s="13" t="n">
        <v>0</v>
      </c>
      <c r="I8" s="13" t="n">
        <v>98</v>
      </c>
      <c r="J8" s="13" t="n">
        <v>100</v>
      </c>
      <c r="K8" s="13" t="n">
        <v>60</v>
      </c>
      <c r="L8" s="13" t="n">
        <v>70</v>
      </c>
      <c r="M8" s="13" t="n">
        <v>50</v>
      </c>
      <c r="N8" s="13" t="n">
        <v>25</v>
      </c>
    </row>
    <row r="9">
      <c r="A9" s="13" t="inlineStr">
        <is>
          <t>331828137</t>
        </is>
      </c>
      <c r="B9" s="14" t="inlineStr">
        <is>
          <t>אהרון נהוראי מאיר</t>
        </is>
      </c>
      <c r="C9" s="13" t="inlineStr">
        <is>
          <t>יא'5</t>
        </is>
      </c>
      <c r="D9" s="13" t="inlineStr"/>
      <c r="E9" s="13" t="n">
        <v>15</v>
      </c>
      <c r="F9" s="13" t="n">
        <v>37.6</v>
      </c>
      <c r="G9" s="13" t="inlineStr">
        <is>
          <t>גבוה מאוד</t>
        </is>
      </c>
      <c r="H9" s="13" t="n">
        <v>0</v>
      </c>
      <c r="I9" s="13" t="n">
        <v>0</v>
      </c>
      <c r="J9" s="13" t="n">
        <v>100</v>
      </c>
      <c r="K9" s="13" t="n">
        <v>60</v>
      </c>
      <c r="L9" s="13" t="n">
        <v>85</v>
      </c>
      <c r="M9" s="13" t="n">
        <v>90</v>
      </c>
      <c r="N9" s="13" t="n">
        <v>25</v>
      </c>
    </row>
    <row r="10">
      <c r="A10" s="13" t="inlineStr">
        <is>
          <t>333620128</t>
        </is>
      </c>
      <c r="B10" s="14" t="inlineStr">
        <is>
          <t>בן יוסף נועה</t>
        </is>
      </c>
      <c r="C10" s="13" t="inlineStr">
        <is>
          <t>יא'5</t>
        </is>
      </c>
      <c r="D10" s="13" t="inlineStr"/>
      <c r="E10" s="13" t="n">
        <v>19</v>
      </c>
      <c r="F10" s="13" t="n">
        <v>37.9</v>
      </c>
      <c r="G10" s="13" t="inlineStr">
        <is>
          <t>גבוה מאוד</t>
        </is>
      </c>
      <c r="H10" s="13" t="n">
        <v>5</v>
      </c>
      <c r="I10" s="13" t="n">
        <v>0</v>
      </c>
      <c r="J10" s="13" t="n">
        <v>100</v>
      </c>
      <c r="K10" s="13" t="n">
        <v>60</v>
      </c>
      <c r="L10" s="13" t="n">
        <v>85</v>
      </c>
      <c r="M10" s="13" t="n">
        <v>90</v>
      </c>
      <c r="N10" s="13" t="n">
        <v>25</v>
      </c>
    </row>
    <row r="11">
      <c r="A11" s="13" t="inlineStr">
        <is>
          <t>217815885</t>
        </is>
      </c>
      <c r="B11" s="14" t="inlineStr">
        <is>
          <t>רובינוב אנה</t>
        </is>
      </c>
      <c r="C11" s="13" t="inlineStr">
        <is>
          <t>יא'4</t>
        </is>
      </c>
      <c r="D11" s="13" t="inlineStr"/>
      <c r="E11" s="13" t="n">
        <v>65</v>
      </c>
      <c r="F11" s="13" t="n">
        <v>38.9</v>
      </c>
      <c r="G11" s="13" t="inlineStr">
        <is>
          <t>גבוה מאוד</t>
        </is>
      </c>
      <c r="H11" s="13" t="n">
        <v>0</v>
      </c>
      <c r="I11" s="13" t="n">
        <v>0</v>
      </c>
      <c r="J11" s="13" t="n">
        <v>100</v>
      </c>
      <c r="K11" s="13" t="n">
        <v>65</v>
      </c>
      <c r="L11" s="13" t="n">
        <v>85</v>
      </c>
      <c r="M11" s="13" t="n">
        <v>70</v>
      </c>
      <c r="N11" s="13" t="n">
        <v>50</v>
      </c>
    </row>
    <row r="12">
      <c r="A12" s="13" t="inlineStr">
        <is>
          <t>218413235</t>
        </is>
      </c>
      <c r="B12" s="14" t="inlineStr">
        <is>
          <t>אדרי יוסף חיים</t>
        </is>
      </c>
      <c r="C12" s="13" t="inlineStr">
        <is>
          <t>יא'5</t>
        </is>
      </c>
      <c r="D12" s="13" t="inlineStr"/>
      <c r="E12" s="13" t="n">
        <v>25</v>
      </c>
      <c r="F12" s="13" t="n">
        <v>40.6</v>
      </c>
      <c r="G12" s="13" t="inlineStr">
        <is>
          <t>גבוה מאוד</t>
        </is>
      </c>
      <c r="H12" s="13" t="n">
        <v>0</v>
      </c>
      <c r="I12" s="13" t="n">
        <v>100</v>
      </c>
      <c r="J12" s="13" t="n">
        <v>100</v>
      </c>
      <c r="K12" s="13" t="n">
        <v>65</v>
      </c>
      <c r="L12" s="13" t="n">
        <v>85</v>
      </c>
      <c r="M12" s="13" t="n">
        <v>70</v>
      </c>
      <c r="N12" s="13" t="n">
        <v>25</v>
      </c>
    </row>
    <row r="13">
      <c r="A13" s="13" t="inlineStr">
        <is>
          <t>217939529</t>
        </is>
      </c>
      <c r="B13" s="14" t="inlineStr">
        <is>
          <t>בן זיקרי ינון</t>
        </is>
      </c>
      <c r="C13" s="13" t="inlineStr">
        <is>
          <t>יא'5</t>
        </is>
      </c>
      <c r="D13" s="13" t="inlineStr"/>
      <c r="E13" s="13" t="n">
        <v>16</v>
      </c>
      <c r="F13" s="13" t="n">
        <v>42.6</v>
      </c>
      <c r="G13" s="13" t="inlineStr">
        <is>
          <t>גבוה מאוד</t>
        </is>
      </c>
      <c r="H13" s="13" t="n">
        <v>0</v>
      </c>
      <c r="I13" s="13" t="n">
        <v>100</v>
      </c>
      <c r="J13" s="13" t="n">
        <v>100</v>
      </c>
      <c r="K13" s="13" t="n">
        <v>60</v>
      </c>
      <c r="L13" s="13" t="n">
        <v>85</v>
      </c>
      <c r="M13" s="13" t="n">
        <v>90</v>
      </c>
      <c r="N13" s="13" t="n">
        <v>25</v>
      </c>
    </row>
    <row r="14">
      <c r="A14" s="13" t="inlineStr">
        <is>
          <t>333762920</t>
        </is>
      </c>
      <c r="B14" s="14" t="inlineStr">
        <is>
          <t>מקטה הודיה</t>
        </is>
      </c>
      <c r="C14" s="13" t="inlineStr">
        <is>
          <t>יא'1</t>
        </is>
      </c>
      <c r="D14" s="13" t="inlineStr"/>
      <c r="E14" s="13" t="n">
        <v>66</v>
      </c>
      <c r="F14" s="13" t="n">
        <v>43.3</v>
      </c>
      <c r="G14" s="13" t="inlineStr">
        <is>
          <t>גבוה מאוד</t>
        </is>
      </c>
      <c r="H14" s="13" t="n">
        <v>0</v>
      </c>
      <c r="I14" s="13" t="n">
        <v>100</v>
      </c>
      <c r="J14" s="13" t="n">
        <v>100</v>
      </c>
      <c r="K14" s="13" t="n">
        <v>80</v>
      </c>
      <c r="L14" s="13" t="n">
        <v>85</v>
      </c>
      <c r="M14" s="13" t="n">
        <v>50</v>
      </c>
      <c r="N14" s="13" t="n">
        <v>50</v>
      </c>
    </row>
    <row r="15">
      <c r="A15" s="13" t="inlineStr">
        <is>
          <t>333762920</t>
        </is>
      </c>
      <c r="B15" s="14" t="inlineStr">
        <is>
          <t>מקטה הודיה</t>
        </is>
      </c>
      <c r="C15" s="13" t="inlineStr">
        <is>
          <t>יא'4</t>
        </is>
      </c>
      <c r="D15" s="13" t="inlineStr"/>
      <c r="E15" s="13" t="n">
        <v>66</v>
      </c>
      <c r="F15" s="13" t="n">
        <v>43.3</v>
      </c>
      <c r="G15" s="13" t="inlineStr">
        <is>
          <t>גבוה מאוד</t>
        </is>
      </c>
      <c r="H15" s="13" t="n">
        <v>0</v>
      </c>
      <c r="I15" s="13" t="n">
        <v>100</v>
      </c>
      <c r="J15" s="13" t="n">
        <v>100</v>
      </c>
      <c r="K15" s="13" t="n">
        <v>80</v>
      </c>
      <c r="L15" s="13" t="n">
        <v>85</v>
      </c>
      <c r="M15" s="13" t="n">
        <v>50</v>
      </c>
      <c r="N15" s="13" t="n">
        <v>50</v>
      </c>
    </row>
    <row r="16">
      <c r="A16" s="13" t="inlineStr"/>
      <c r="B16" s="14" t="inlineStr">
        <is>
          <t>סויסה אלין</t>
        </is>
      </c>
      <c r="C16" s="13" t="inlineStr">
        <is>
          <t>יא'5</t>
        </is>
      </c>
      <c r="D16" s="13" t="inlineStr"/>
      <c r="E16" s="13" t="n">
        <v>99</v>
      </c>
      <c r="F16" s="13" t="n">
        <v>44.1</v>
      </c>
      <c r="G16" s="13" t="inlineStr">
        <is>
          <t>גבוה מאוד</t>
        </is>
      </c>
      <c r="H16" s="13" t="inlineStr">
        <is>
          <t>—</t>
        </is>
      </c>
      <c r="I16" s="13" t="n">
        <v>0</v>
      </c>
      <c r="J16" s="13" t="inlineStr">
        <is>
          <t>—</t>
        </is>
      </c>
      <c r="K16" s="13" t="n">
        <v>60</v>
      </c>
      <c r="L16" s="13" t="n">
        <v>65</v>
      </c>
      <c r="M16" s="13" t="n">
        <v>50</v>
      </c>
      <c r="N16" s="13" t="n">
        <v>100</v>
      </c>
    </row>
    <row r="17">
      <c r="A17" s="13" t="inlineStr"/>
      <c r="B17" s="14" t="inlineStr">
        <is>
          <t>דזיובה מרק</t>
        </is>
      </c>
      <c r="C17" s="13" t="inlineStr">
        <is>
          <t>יא'1</t>
        </is>
      </c>
      <c r="D17" s="13" t="inlineStr">
        <is>
          <t>★</t>
        </is>
      </c>
      <c r="E17" s="13" t="n">
        <v>48</v>
      </c>
      <c r="F17" s="13" t="n">
        <v>44.8</v>
      </c>
      <c r="G17" s="13" t="inlineStr">
        <is>
          <t>גבוה מאוד</t>
        </is>
      </c>
      <c r="H17" s="13" t="n">
        <v>80</v>
      </c>
      <c r="I17" s="13" t="inlineStr">
        <is>
          <t>—</t>
        </is>
      </c>
      <c r="J17" s="13" t="inlineStr">
        <is>
          <t>—</t>
        </is>
      </c>
      <c r="K17" s="13" t="n">
        <v>60</v>
      </c>
      <c r="L17" s="13" t="n">
        <v>35</v>
      </c>
      <c r="M17" s="13" t="n">
        <v>50</v>
      </c>
      <c r="N17" s="13" t="n">
        <v>25</v>
      </c>
    </row>
    <row r="18">
      <c r="A18" s="15" t="inlineStr">
        <is>
          <t>217869049</t>
        </is>
      </c>
      <c r="B18" s="16" t="inlineStr">
        <is>
          <t>קגן מאריאל</t>
        </is>
      </c>
      <c r="C18" s="15" t="inlineStr">
        <is>
          <t>יא'6</t>
        </is>
      </c>
      <c r="D18" s="15" t="inlineStr"/>
      <c r="E18" s="15" t="n">
        <v>28</v>
      </c>
      <c r="F18" s="15" t="n">
        <v>45.4</v>
      </c>
      <c r="G18" s="15" t="inlineStr">
        <is>
          <t>גבוה</t>
        </is>
      </c>
      <c r="H18" s="15" t="n">
        <v>100</v>
      </c>
      <c r="I18" s="15" t="n">
        <v>100</v>
      </c>
      <c r="J18" s="15" t="n">
        <v>100</v>
      </c>
      <c r="K18" s="15" t="n">
        <v>30</v>
      </c>
      <c r="L18" s="15" t="n">
        <v>65</v>
      </c>
      <c r="M18" s="15" t="n">
        <v>25</v>
      </c>
      <c r="N18" s="15" t="n">
        <v>25</v>
      </c>
    </row>
    <row r="19">
      <c r="A19" s="15" t="inlineStr">
        <is>
          <t>333169514</t>
        </is>
      </c>
      <c r="B19" s="16" t="inlineStr">
        <is>
          <t>מלכה רפאל שלום</t>
        </is>
      </c>
      <c r="C19" s="15" t="inlineStr">
        <is>
          <t>יא'5</t>
        </is>
      </c>
      <c r="D19" s="15" t="inlineStr"/>
      <c r="E19" s="15" t="n">
        <v>55</v>
      </c>
      <c r="F19" s="15" t="n">
        <v>46</v>
      </c>
      <c r="G19" s="15" t="inlineStr">
        <is>
          <t>גבוה</t>
        </is>
      </c>
      <c r="H19" s="15" t="n">
        <v>40</v>
      </c>
      <c r="I19" s="15" t="n">
        <v>98</v>
      </c>
      <c r="J19" s="15" t="n">
        <v>100</v>
      </c>
      <c r="K19" s="15" t="n">
        <v>30</v>
      </c>
      <c r="L19" s="15" t="n">
        <v>85</v>
      </c>
      <c r="M19" s="15" t="n">
        <v>50</v>
      </c>
      <c r="N19" s="15" t="n">
        <v>25</v>
      </c>
    </row>
    <row r="20">
      <c r="A20" s="15" t="inlineStr">
        <is>
          <t>333086718</t>
        </is>
      </c>
      <c r="B20" s="16" t="inlineStr">
        <is>
          <t>נדם עלמה</t>
        </is>
      </c>
      <c r="C20" s="15" t="inlineStr">
        <is>
          <t>יא'1</t>
        </is>
      </c>
      <c r="D20" s="15" t="inlineStr"/>
      <c r="E20" s="15" t="n">
        <v>63</v>
      </c>
      <c r="F20" s="15" t="n">
        <v>48.1</v>
      </c>
      <c r="G20" s="15" t="inlineStr">
        <is>
          <t>גבוה</t>
        </is>
      </c>
      <c r="H20" s="15" t="n">
        <v>100</v>
      </c>
      <c r="I20" s="15" t="n">
        <v>80</v>
      </c>
      <c r="J20" s="15" t="n">
        <v>100</v>
      </c>
      <c r="K20" s="15" t="n">
        <v>30</v>
      </c>
      <c r="L20" s="15" t="n">
        <v>85</v>
      </c>
      <c r="M20" s="15" t="n">
        <v>50</v>
      </c>
      <c r="N20" s="15" t="n">
        <v>25</v>
      </c>
    </row>
    <row r="21">
      <c r="A21" s="15" t="inlineStr">
        <is>
          <t>333022994</t>
        </is>
      </c>
      <c r="B21" s="16" t="inlineStr">
        <is>
          <t>אמברבר מעיין</t>
        </is>
      </c>
      <c r="C21" s="15" t="inlineStr">
        <is>
          <t>יא'5</t>
        </is>
      </c>
      <c r="D21" s="15" t="inlineStr"/>
      <c r="E21" s="15" t="n">
        <v>51</v>
      </c>
      <c r="F21" s="15" t="n">
        <v>48.8</v>
      </c>
      <c r="G21" s="15" t="inlineStr">
        <is>
          <t>גבוה</t>
        </is>
      </c>
      <c r="H21" s="15" t="n">
        <v>95</v>
      </c>
      <c r="I21" s="15" t="n">
        <v>98</v>
      </c>
      <c r="J21" s="15" t="n">
        <v>100</v>
      </c>
      <c r="K21" s="15" t="n">
        <v>30</v>
      </c>
      <c r="L21" s="15" t="n">
        <v>85</v>
      </c>
      <c r="M21" s="15" t="n">
        <v>50</v>
      </c>
      <c r="N21" s="15" t="n">
        <v>25</v>
      </c>
    </row>
    <row r="22">
      <c r="A22" s="15" t="inlineStr">
        <is>
          <t>218062586</t>
        </is>
      </c>
      <c r="B22" s="16" t="inlineStr">
        <is>
          <t>איזנקוט ליאן</t>
        </is>
      </c>
      <c r="C22" s="15" t="inlineStr">
        <is>
          <t>יא'1</t>
        </is>
      </c>
      <c r="D22" s="15" t="inlineStr"/>
      <c r="E22" s="15" t="n">
        <v>52</v>
      </c>
      <c r="F22" s="15" t="n">
        <v>49</v>
      </c>
      <c r="G22" s="15" t="inlineStr">
        <is>
          <t>גבוה</t>
        </is>
      </c>
      <c r="H22" s="15" t="n">
        <v>100</v>
      </c>
      <c r="I22" s="15" t="n">
        <v>98</v>
      </c>
      <c r="J22" s="15" t="n">
        <v>100</v>
      </c>
      <c r="K22" s="15" t="n">
        <v>30</v>
      </c>
      <c r="L22" s="15" t="n">
        <v>85</v>
      </c>
      <c r="M22" s="15" t="n">
        <v>50</v>
      </c>
      <c r="N22" s="15" t="n">
        <v>25</v>
      </c>
    </row>
    <row r="23">
      <c r="A23" s="15" t="inlineStr">
        <is>
          <t>218147452</t>
        </is>
      </c>
      <c r="B23" s="16" t="inlineStr">
        <is>
          <t>מקונן שירה</t>
        </is>
      </c>
      <c r="C23" s="15" t="inlineStr">
        <is>
          <t>יא'4</t>
        </is>
      </c>
      <c r="D23" s="15" t="inlineStr"/>
      <c r="E23" s="15" t="n">
        <v>64</v>
      </c>
      <c r="F23" s="15" t="n">
        <v>50.9</v>
      </c>
      <c r="G23" s="15" t="inlineStr">
        <is>
          <t>גבוה</t>
        </is>
      </c>
      <c r="H23" s="15" t="n">
        <v>40</v>
      </c>
      <c r="I23" s="15" t="n">
        <v>100</v>
      </c>
      <c r="J23" s="15" t="n">
        <v>100</v>
      </c>
      <c r="K23" s="15" t="n">
        <v>50</v>
      </c>
      <c r="L23" s="15" t="n">
        <v>85</v>
      </c>
      <c r="M23" s="15" t="n">
        <v>50</v>
      </c>
      <c r="N23" s="15" t="n">
        <v>25</v>
      </c>
    </row>
    <row r="24">
      <c r="A24" s="15" t="inlineStr">
        <is>
          <t>218778124</t>
        </is>
      </c>
      <c r="B24" s="16" t="inlineStr">
        <is>
          <t>הופס מי-דן דאר</t>
        </is>
      </c>
      <c r="C24" s="15" t="inlineStr">
        <is>
          <t>יא'5</t>
        </is>
      </c>
      <c r="D24" s="15" t="inlineStr"/>
      <c r="E24" s="15" t="n">
        <v>36</v>
      </c>
      <c r="F24" s="15" t="n">
        <v>51.9</v>
      </c>
      <c r="G24" s="15" t="inlineStr">
        <is>
          <t>גבוה</t>
        </is>
      </c>
      <c r="H24" s="15" t="n">
        <v>95</v>
      </c>
      <c r="I24" s="15" t="n">
        <v>100</v>
      </c>
      <c r="J24" s="15" t="n">
        <v>100</v>
      </c>
      <c r="K24" s="15" t="n">
        <v>30</v>
      </c>
      <c r="L24" s="15" t="n">
        <v>85</v>
      </c>
      <c r="M24" s="15" t="n">
        <v>70</v>
      </c>
      <c r="N24" s="15" t="n">
        <v>25</v>
      </c>
    </row>
    <row r="25">
      <c r="A25" s="15" t="inlineStr">
        <is>
          <t>333068609</t>
        </is>
      </c>
      <c r="B25" s="16" t="inlineStr">
        <is>
          <t>טקלה איתי</t>
        </is>
      </c>
      <c r="C25" s="15" t="inlineStr">
        <is>
          <t>יא'1</t>
        </is>
      </c>
      <c r="D25" s="15" t="inlineStr"/>
      <c r="E25" s="15" t="n">
        <v>59</v>
      </c>
      <c r="F25" s="15" t="n">
        <v>52</v>
      </c>
      <c r="G25" s="15" t="inlineStr">
        <is>
          <t>גבוה</t>
        </is>
      </c>
      <c r="H25" s="15" t="n">
        <v>100</v>
      </c>
      <c r="I25" s="15" t="n">
        <v>98</v>
      </c>
      <c r="J25" s="15" t="n">
        <v>100</v>
      </c>
      <c r="K25" s="15" t="n">
        <v>30</v>
      </c>
      <c r="L25" s="15" t="n">
        <v>85</v>
      </c>
      <c r="M25" s="15" t="n">
        <v>70</v>
      </c>
      <c r="N25" s="15" t="n">
        <v>25</v>
      </c>
    </row>
    <row r="26">
      <c r="A26" s="15" t="inlineStr">
        <is>
          <t>327059259</t>
        </is>
      </c>
      <c r="B26" s="16" t="inlineStr">
        <is>
          <t>ארד יונתן</t>
        </is>
      </c>
      <c r="C26" s="15" t="inlineStr">
        <is>
          <t>יא'1</t>
        </is>
      </c>
      <c r="D26" s="15" t="inlineStr"/>
      <c r="E26" s="15" t="n">
        <v>86</v>
      </c>
      <c r="F26" s="15" t="n">
        <v>52.8</v>
      </c>
      <c r="G26" s="15" t="inlineStr">
        <is>
          <t>גבוה</t>
        </is>
      </c>
      <c r="H26" s="15" t="n">
        <v>0</v>
      </c>
      <c r="I26" s="15" t="n">
        <v>80</v>
      </c>
      <c r="J26" s="15" t="n">
        <v>100</v>
      </c>
      <c r="K26" s="15" t="n">
        <v>90</v>
      </c>
      <c r="L26" s="15" t="n">
        <v>85</v>
      </c>
      <c r="M26" s="15" t="n">
        <v>50</v>
      </c>
      <c r="N26" s="15" t="n">
        <v>100</v>
      </c>
    </row>
    <row r="27">
      <c r="A27" s="15" t="inlineStr">
        <is>
          <t>332920156</t>
        </is>
      </c>
      <c r="B27" s="16" t="inlineStr">
        <is>
          <t>יוחנוב ליאור</t>
        </is>
      </c>
      <c r="C27" s="15" t="inlineStr">
        <is>
          <t>יא'2</t>
        </is>
      </c>
      <c r="D27" s="15" t="inlineStr">
        <is>
          <t>★</t>
        </is>
      </c>
      <c r="E27" s="15" t="n">
        <v>54</v>
      </c>
      <c r="F27" s="15" t="n">
        <v>53.1</v>
      </c>
      <c r="G27" s="15" t="inlineStr">
        <is>
          <t>גבוה</t>
        </is>
      </c>
      <c r="H27" s="15" t="n">
        <v>80</v>
      </c>
      <c r="I27" s="15" t="inlineStr">
        <is>
          <t>—</t>
        </is>
      </c>
      <c r="J27" s="15" t="n">
        <v>100</v>
      </c>
      <c r="K27" s="15" t="n">
        <v>60</v>
      </c>
      <c r="L27" s="15" t="n">
        <v>70</v>
      </c>
      <c r="M27" s="15" t="n">
        <v>25</v>
      </c>
      <c r="N27" s="15" t="n">
        <v>25</v>
      </c>
    </row>
    <row r="28">
      <c r="A28" s="15" t="inlineStr">
        <is>
          <t>348419466</t>
        </is>
      </c>
      <c r="B28" s="16" t="inlineStr">
        <is>
          <t>פלוטניקוב פבליה פולינה</t>
        </is>
      </c>
      <c r="C28" s="15" t="inlineStr">
        <is>
          <t>יא'1</t>
        </is>
      </c>
      <c r="D28" s="15" t="inlineStr"/>
      <c r="E28" s="15" t="n">
        <v>94</v>
      </c>
      <c r="F28" s="15" t="n">
        <v>54.2</v>
      </c>
      <c r="G28" s="15" t="inlineStr">
        <is>
          <t>גבוה</t>
        </is>
      </c>
      <c r="H28" s="15" t="n">
        <v>0</v>
      </c>
      <c r="I28" s="15" t="n">
        <v>100</v>
      </c>
      <c r="J28" s="15" t="inlineStr">
        <is>
          <t>—</t>
        </is>
      </c>
      <c r="K28" s="15" t="n">
        <v>80</v>
      </c>
      <c r="L28" s="15" t="n">
        <v>90</v>
      </c>
      <c r="M28" s="15" t="n">
        <v>70</v>
      </c>
      <c r="N28" s="15" t="n">
        <v>100</v>
      </c>
    </row>
    <row r="29">
      <c r="A29" s="15" t="inlineStr">
        <is>
          <t>333628071</t>
        </is>
      </c>
      <c r="B29" s="16" t="inlineStr">
        <is>
          <t>מלדה ינון</t>
        </is>
      </c>
      <c r="C29" s="15" t="inlineStr">
        <is>
          <t>יא'4</t>
        </is>
      </c>
      <c r="D29" s="15" t="inlineStr"/>
      <c r="E29" s="15" t="n">
        <v>76</v>
      </c>
      <c r="F29" s="15" t="n">
        <v>56.3</v>
      </c>
      <c r="G29" s="15" t="inlineStr">
        <is>
          <t>גבוה</t>
        </is>
      </c>
      <c r="H29" s="15" t="n">
        <v>0</v>
      </c>
      <c r="I29" s="15" t="n">
        <v>100</v>
      </c>
      <c r="J29" s="15" t="n">
        <v>100</v>
      </c>
      <c r="K29" s="15" t="n">
        <v>80</v>
      </c>
      <c r="L29" s="15" t="n">
        <v>80</v>
      </c>
      <c r="M29" s="15" t="n">
        <v>90</v>
      </c>
      <c r="N29" s="15" t="n">
        <v>85</v>
      </c>
    </row>
    <row r="30">
      <c r="A30" s="15" t="inlineStr">
        <is>
          <t>333673523</t>
        </is>
      </c>
      <c r="B30" s="16" t="inlineStr">
        <is>
          <t>סילס שרית רפאלה</t>
        </is>
      </c>
      <c r="C30" s="15" t="inlineStr">
        <is>
          <t>יא'2</t>
        </is>
      </c>
      <c r="D30" s="15" t="inlineStr">
        <is>
          <t>★</t>
        </is>
      </c>
      <c r="E30" s="15" t="n">
        <v>39</v>
      </c>
      <c r="F30" s="15" t="n">
        <v>57.4</v>
      </c>
      <c r="G30" s="15" t="inlineStr">
        <is>
          <t>גבוה</t>
        </is>
      </c>
      <c r="H30" s="15" t="n">
        <v>80</v>
      </c>
      <c r="I30" s="15" t="inlineStr">
        <is>
          <t>—</t>
        </is>
      </c>
      <c r="J30" s="15" t="n">
        <v>100</v>
      </c>
      <c r="K30" s="15" t="n">
        <v>60</v>
      </c>
      <c r="L30" s="15" t="n">
        <v>55</v>
      </c>
      <c r="M30" s="15" t="n">
        <v>70</v>
      </c>
      <c r="N30" s="15" t="n">
        <v>25</v>
      </c>
    </row>
    <row r="31">
      <c r="A31" s="15" t="inlineStr">
        <is>
          <t>332893213</t>
        </is>
      </c>
      <c r="B31" s="16" t="inlineStr">
        <is>
          <t>מעטי אוריה</t>
        </is>
      </c>
      <c r="C31" s="15" t="inlineStr">
        <is>
          <t>יא'5</t>
        </is>
      </c>
      <c r="D31" s="15" t="inlineStr">
        <is>
          <t>★</t>
        </is>
      </c>
      <c r="E31" s="15" t="n">
        <v>55</v>
      </c>
      <c r="F31" s="15" t="n">
        <v>57.7</v>
      </c>
      <c r="G31" s="15" t="inlineStr">
        <is>
          <t>גבוה</t>
        </is>
      </c>
      <c r="H31" s="15" t="n">
        <v>80</v>
      </c>
      <c r="I31" s="15" t="n">
        <v>80</v>
      </c>
      <c r="J31" s="15" t="n">
        <v>100</v>
      </c>
      <c r="K31" s="15" t="n">
        <v>60</v>
      </c>
      <c r="L31" s="15" t="n">
        <v>85</v>
      </c>
      <c r="M31" s="15" t="n">
        <v>50</v>
      </c>
      <c r="N31" s="15" t="n">
        <v>25</v>
      </c>
    </row>
    <row r="32">
      <c r="A32" s="15" t="inlineStr">
        <is>
          <t>333697498</t>
        </is>
      </c>
      <c r="B32" s="16" t="inlineStr">
        <is>
          <t>גברילוב ענאל</t>
        </is>
      </c>
      <c r="C32" s="15" t="inlineStr">
        <is>
          <t>יא'1</t>
        </is>
      </c>
      <c r="D32" s="15" t="inlineStr"/>
      <c r="E32" s="15" t="n">
        <v>59</v>
      </c>
      <c r="F32" s="15" t="n">
        <v>58.3</v>
      </c>
      <c r="G32" s="15" t="inlineStr">
        <is>
          <t>גבוה</t>
        </is>
      </c>
      <c r="H32" s="15" t="n">
        <v>70</v>
      </c>
      <c r="I32" s="15" t="n">
        <v>98</v>
      </c>
      <c r="J32" s="15" t="n">
        <v>100</v>
      </c>
      <c r="K32" s="15" t="n">
        <v>65</v>
      </c>
      <c r="L32" s="15" t="n">
        <v>55</v>
      </c>
      <c r="M32" s="15" t="n">
        <v>70</v>
      </c>
      <c r="N32" s="15" t="n">
        <v>25</v>
      </c>
    </row>
    <row r="33">
      <c r="A33" s="15" t="inlineStr">
        <is>
          <t>333689735</t>
        </is>
      </c>
      <c r="B33" s="16" t="inlineStr">
        <is>
          <t>יצחקי תהל</t>
        </is>
      </c>
      <c r="C33" s="15" t="inlineStr">
        <is>
          <t>יא'6</t>
        </is>
      </c>
      <c r="D33" s="15" t="inlineStr"/>
      <c r="E33" s="15" t="n">
        <v>63</v>
      </c>
      <c r="F33" s="15" t="n">
        <v>59.4</v>
      </c>
      <c r="G33" s="15" t="inlineStr">
        <is>
          <t>גבוה</t>
        </is>
      </c>
      <c r="H33" s="15" t="n">
        <v>100</v>
      </c>
      <c r="I33" s="15" t="n">
        <v>100</v>
      </c>
      <c r="J33" s="15" t="n">
        <v>100</v>
      </c>
      <c r="K33" s="15" t="n">
        <v>50</v>
      </c>
      <c r="L33" s="15" t="n">
        <v>90</v>
      </c>
      <c r="M33" s="15" t="n">
        <v>70</v>
      </c>
      <c r="N33" s="15" t="n">
        <v>25</v>
      </c>
    </row>
    <row r="34">
      <c r="A34" s="15" t="inlineStr">
        <is>
          <t>218673648</t>
        </is>
      </c>
      <c r="B34" s="16" t="inlineStr">
        <is>
          <t>רביד יואב</t>
        </is>
      </c>
      <c r="C34" s="15" t="inlineStr">
        <is>
          <t>יא'6</t>
        </is>
      </c>
      <c r="D34" s="15" t="inlineStr"/>
      <c r="E34" s="15" t="n">
        <v>69</v>
      </c>
      <c r="F34" s="15" t="n">
        <v>60.1</v>
      </c>
      <c r="G34" s="15" t="inlineStr">
        <is>
          <t>גבוה</t>
        </is>
      </c>
      <c r="H34" s="15" t="n">
        <v>100</v>
      </c>
      <c r="I34" s="15" t="n">
        <v>100</v>
      </c>
      <c r="J34" s="15" t="n">
        <v>100</v>
      </c>
      <c r="K34" s="15" t="n">
        <v>90</v>
      </c>
      <c r="L34" s="15" t="n">
        <v>35</v>
      </c>
      <c r="M34" s="15" t="n">
        <v>70</v>
      </c>
      <c r="N34" s="15" t="n">
        <v>50</v>
      </c>
    </row>
    <row r="35">
      <c r="A35" s="15" t="inlineStr">
        <is>
          <t>332883990</t>
        </is>
      </c>
      <c r="B35" s="16" t="inlineStr">
        <is>
          <t>אבו חאלד אסיה</t>
        </is>
      </c>
      <c r="C35" s="15" t="inlineStr">
        <is>
          <t>יא'4</t>
        </is>
      </c>
      <c r="D35" s="15" t="inlineStr"/>
      <c r="E35" s="15" t="n">
        <v>81</v>
      </c>
      <c r="F35" s="15" t="n">
        <v>60.6</v>
      </c>
      <c r="G35" s="15" t="inlineStr">
        <is>
          <t>גבוה</t>
        </is>
      </c>
      <c r="H35" s="15" t="n">
        <v>100</v>
      </c>
      <c r="I35" s="15" t="n">
        <v>98</v>
      </c>
      <c r="J35" s="15" t="inlineStr">
        <is>
          <t>—</t>
        </is>
      </c>
      <c r="K35" s="15" t="n">
        <v>90</v>
      </c>
      <c r="L35" s="15" t="n">
        <v>35</v>
      </c>
      <c r="M35" s="15" t="n">
        <v>25</v>
      </c>
      <c r="N35" s="15" t="n">
        <v>100</v>
      </c>
    </row>
    <row r="36">
      <c r="A36" s="15" t="inlineStr">
        <is>
          <t>217998111</t>
        </is>
      </c>
      <c r="B36" s="16" t="inlineStr">
        <is>
          <t>תורן נועם דמיאן</t>
        </is>
      </c>
      <c r="C36" s="15" t="inlineStr">
        <is>
          <t>יא'2</t>
        </is>
      </c>
      <c r="D36" s="15" t="inlineStr">
        <is>
          <t>★</t>
        </is>
      </c>
      <c r="E36" s="15" t="n">
        <v>29</v>
      </c>
      <c r="F36" s="15" t="n">
        <v>60.8</v>
      </c>
      <c r="G36" s="15" t="inlineStr">
        <is>
          <t>גבוה</t>
        </is>
      </c>
      <c r="H36" s="15" t="n">
        <v>80</v>
      </c>
      <c r="I36" s="15" t="inlineStr">
        <is>
          <t>—</t>
        </is>
      </c>
      <c r="J36" s="15" t="n">
        <v>100</v>
      </c>
      <c r="K36" s="15" t="n">
        <v>60</v>
      </c>
      <c r="L36" s="15" t="n">
        <v>85</v>
      </c>
      <c r="M36" s="15" t="n">
        <v>70</v>
      </c>
      <c r="N36" s="15" t="n">
        <v>25</v>
      </c>
    </row>
    <row r="37">
      <c r="A37" s="15" t="inlineStr">
        <is>
          <t>218862167</t>
        </is>
      </c>
      <c r="B37" s="16" t="inlineStr">
        <is>
          <t>לוי ליאן</t>
        </is>
      </c>
      <c r="C37" s="15" t="inlineStr">
        <is>
          <t>יא'4</t>
        </is>
      </c>
      <c r="D37" s="15" t="inlineStr"/>
      <c r="E37" s="15" t="n">
        <v>62</v>
      </c>
      <c r="F37" s="15" t="n">
        <v>61.1</v>
      </c>
      <c r="G37" s="15" t="inlineStr">
        <is>
          <t>גבוה</t>
        </is>
      </c>
      <c r="H37" s="15" t="n">
        <v>100</v>
      </c>
      <c r="I37" s="15" t="n">
        <v>100</v>
      </c>
      <c r="J37" s="15" t="inlineStr">
        <is>
          <t>—</t>
        </is>
      </c>
      <c r="K37" s="15" t="n">
        <v>60</v>
      </c>
      <c r="L37" s="15" t="n">
        <v>90</v>
      </c>
      <c r="M37" s="15" t="n">
        <v>50</v>
      </c>
      <c r="N37" s="15" t="n">
        <v>25</v>
      </c>
    </row>
    <row r="38">
      <c r="A38" s="15" t="inlineStr">
        <is>
          <t>333139574</t>
        </is>
      </c>
      <c r="B38" s="16" t="inlineStr">
        <is>
          <t>סבג רומי אור</t>
        </is>
      </c>
      <c r="C38" s="15" t="inlineStr">
        <is>
          <t>יא'5</t>
        </is>
      </c>
      <c r="D38" s="15" t="inlineStr"/>
      <c r="E38" s="15" t="n">
        <v>71</v>
      </c>
      <c r="F38" s="15" t="n">
        <v>61.1</v>
      </c>
      <c r="G38" s="15" t="inlineStr">
        <is>
          <t>גבוה</t>
        </is>
      </c>
      <c r="H38" s="15" t="n">
        <v>100</v>
      </c>
      <c r="I38" s="15" t="n">
        <v>100</v>
      </c>
      <c r="J38" s="15" t="n">
        <v>100</v>
      </c>
      <c r="K38" s="15" t="n">
        <v>30</v>
      </c>
      <c r="L38" s="15" t="n">
        <v>85</v>
      </c>
      <c r="M38" s="15" t="n">
        <v>70</v>
      </c>
      <c r="N38" s="15" t="n">
        <v>70</v>
      </c>
    </row>
    <row r="39">
      <c r="A39" s="15" t="inlineStr">
        <is>
          <t>218071348</t>
        </is>
      </c>
      <c r="B39" s="16" t="inlineStr">
        <is>
          <t>אהרן אדל</t>
        </is>
      </c>
      <c r="C39" s="15" t="inlineStr">
        <is>
          <t>יא'1</t>
        </is>
      </c>
      <c r="D39" s="15" t="inlineStr"/>
      <c r="E39" s="15" t="n">
        <v>61</v>
      </c>
      <c r="F39" s="15" t="n">
        <v>61.4</v>
      </c>
      <c r="G39" s="15" t="inlineStr">
        <is>
          <t>גבוה</t>
        </is>
      </c>
      <c r="H39" s="15" t="n">
        <v>100</v>
      </c>
      <c r="I39" s="15" t="n">
        <v>100</v>
      </c>
      <c r="J39" s="15" t="n">
        <v>100</v>
      </c>
      <c r="K39" s="15" t="n">
        <v>65</v>
      </c>
      <c r="L39" s="15" t="n">
        <v>85</v>
      </c>
      <c r="M39" s="15" t="n">
        <v>50</v>
      </c>
      <c r="N39" s="15" t="n">
        <v>25</v>
      </c>
    </row>
    <row r="40">
      <c r="A40" s="15" t="inlineStr">
        <is>
          <t>218724177</t>
        </is>
      </c>
      <c r="B40" s="16" t="inlineStr">
        <is>
          <t>מתתיהו רומי</t>
        </is>
      </c>
      <c r="C40" s="15" t="inlineStr">
        <is>
          <t>יא'4</t>
        </is>
      </c>
      <c r="D40" s="15" t="inlineStr"/>
      <c r="E40" s="15" t="n">
        <v>58</v>
      </c>
      <c r="F40" s="15" t="n">
        <v>61.4</v>
      </c>
      <c r="G40" s="15" t="inlineStr">
        <is>
          <t>גבוה</t>
        </is>
      </c>
      <c r="H40" s="15" t="n">
        <v>100</v>
      </c>
      <c r="I40" s="15" t="n">
        <v>100</v>
      </c>
      <c r="J40" s="15" t="n">
        <v>100</v>
      </c>
      <c r="K40" s="15" t="n">
        <v>65</v>
      </c>
      <c r="L40" s="15" t="n">
        <v>65</v>
      </c>
      <c r="M40" s="15" t="n">
        <v>50</v>
      </c>
      <c r="N40" s="15" t="n">
        <v>25</v>
      </c>
    </row>
    <row r="41">
      <c r="A41" s="15" t="inlineStr"/>
      <c r="B41" s="16" t="inlineStr">
        <is>
          <t>לזרוביץ ביטו דור</t>
        </is>
      </c>
      <c r="C41" s="15" t="inlineStr">
        <is>
          <t>יא'6</t>
        </is>
      </c>
      <c r="D41" s="15" t="inlineStr">
        <is>
          <t>★</t>
        </is>
      </c>
      <c r="E41" s="15" t="n">
        <v>19</v>
      </c>
      <c r="F41" s="15" t="n">
        <v>61.6</v>
      </c>
      <c r="G41" s="15" t="inlineStr">
        <is>
          <t>גבוה</t>
        </is>
      </c>
      <c r="H41" s="15" t="n">
        <v>80</v>
      </c>
      <c r="I41" s="15" t="inlineStr">
        <is>
          <t>—</t>
        </is>
      </c>
      <c r="J41" s="15" t="inlineStr">
        <is>
          <t>—</t>
        </is>
      </c>
      <c r="K41" s="15" t="n">
        <v>60</v>
      </c>
      <c r="L41" s="15" t="n">
        <v>65</v>
      </c>
      <c r="M41" s="15" t="n">
        <v>90</v>
      </c>
      <c r="N41" s="15" t="n">
        <v>25</v>
      </c>
    </row>
    <row r="42">
      <c r="A42" s="15" t="inlineStr">
        <is>
          <t>333069722</t>
        </is>
      </c>
      <c r="B42" s="16" t="inlineStr">
        <is>
          <t>ארביב יואב</t>
        </is>
      </c>
      <c r="C42" s="15" t="inlineStr">
        <is>
          <t>יא'2</t>
        </is>
      </c>
      <c r="D42" s="15" t="inlineStr">
        <is>
          <t>★</t>
        </is>
      </c>
      <c r="E42" s="15" t="n">
        <v>19</v>
      </c>
      <c r="F42" s="15" t="n">
        <v>62</v>
      </c>
      <c r="G42" s="15" t="inlineStr">
        <is>
          <t>גבוה</t>
        </is>
      </c>
      <c r="H42" s="15" t="n">
        <v>100</v>
      </c>
      <c r="I42" s="15" t="inlineStr">
        <is>
          <t>—</t>
        </is>
      </c>
      <c r="J42" s="15" t="n">
        <v>100</v>
      </c>
      <c r="K42" s="15" t="n">
        <v>60</v>
      </c>
      <c r="L42" s="15" t="n">
        <v>85</v>
      </c>
      <c r="M42" s="15" t="n">
        <v>70</v>
      </c>
      <c r="N42" s="15" t="n">
        <v>25</v>
      </c>
    </row>
    <row r="43">
      <c r="A43" s="15" t="inlineStr">
        <is>
          <t>333760544</t>
        </is>
      </c>
      <c r="B43" s="16" t="inlineStr">
        <is>
          <t>כהן אפק</t>
        </is>
      </c>
      <c r="C43" s="15" t="inlineStr">
        <is>
          <t>יא'5</t>
        </is>
      </c>
      <c r="D43" s="15" t="inlineStr"/>
      <c r="E43" s="15" t="n">
        <v>91</v>
      </c>
      <c r="F43" s="15" t="n">
        <v>64</v>
      </c>
      <c r="G43" s="15" t="inlineStr">
        <is>
          <t>גבוה</t>
        </is>
      </c>
      <c r="H43" s="15" t="n">
        <v>40</v>
      </c>
      <c r="I43" s="15" t="n">
        <v>98</v>
      </c>
      <c r="J43" s="15" t="n">
        <v>100</v>
      </c>
      <c r="K43" s="15" t="n">
        <v>30</v>
      </c>
      <c r="L43" s="15" t="n">
        <v>85</v>
      </c>
      <c r="M43" s="15" t="n">
        <v>70</v>
      </c>
      <c r="N43" s="15" t="n">
        <v>100</v>
      </c>
    </row>
    <row r="44">
      <c r="A44" s="15" t="inlineStr">
        <is>
          <t>218075950</t>
        </is>
      </c>
      <c r="B44" s="16" t="inlineStr">
        <is>
          <t>אדמוני שלו</t>
        </is>
      </c>
      <c r="C44" s="15" t="inlineStr">
        <is>
          <t>יא'1</t>
        </is>
      </c>
      <c r="D44" s="15" t="inlineStr"/>
      <c r="E44" s="15" t="n">
        <v>94</v>
      </c>
      <c r="F44" s="15" t="n">
        <v>64.09999999999999</v>
      </c>
      <c r="G44" s="15" t="inlineStr">
        <is>
          <t>גבוה</t>
        </is>
      </c>
      <c r="H44" s="15" t="n">
        <v>70</v>
      </c>
      <c r="I44" s="15" t="n">
        <v>98</v>
      </c>
      <c r="J44" s="15" t="inlineStr">
        <is>
          <t>—</t>
        </is>
      </c>
      <c r="K44" s="15" t="n">
        <v>60</v>
      </c>
      <c r="L44" s="15" t="n">
        <v>50</v>
      </c>
      <c r="M44" s="15" t="n">
        <v>25</v>
      </c>
      <c r="N44" s="15" t="n">
        <v>100</v>
      </c>
    </row>
    <row r="45">
      <c r="A45" s="15" t="inlineStr">
        <is>
          <t>333086700</t>
        </is>
      </c>
      <c r="B45" s="16" t="inlineStr">
        <is>
          <t>נדם דנה</t>
        </is>
      </c>
      <c r="C45" s="15" t="inlineStr">
        <is>
          <t>יא'1</t>
        </is>
      </c>
      <c r="D45" s="15" t="inlineStr"/>
      <c r="E45" s="15" t="n">
        <v>66</v>
      </c>
      <c r="F45" s="15" t="n">
        <v>64.2</v>
      </c>
      <c r="G45" s="15" t="inlineStr">
        <is>
          <t>גבוה</t>
        </is>
      </c>
      <c r="H45" s="15" t="n">
        <v>100</v>
      </c>
      <c r="I45" s="15" t="n">
        <v>100</v>
      </c>
      <c r="J45" s="15" t="n">
        <v>100</v>
      </c>
      <c r="K45" s="15" t="n">
        <v>50</v>
      </c>
      <c r="L45" s="15" t="n">
        <v>85</v>
      </c>
      <c r="M45" s="15" t="n">
        <v>70</v>
      </c>
      <c r="N45" s="15" t="n">
        <v>50</v>
      </c>
    </row>
    <row r="46">
      <c r="A46" s="4" t="inlineStr">
        <is>
          <t>333212785</t>
        </is>
      </c>
      <c r="B46" s="17" t="inlineStr">
        <is>
          <t>נגבקר אור</t>
        </is>
      </c>
      <c r="C46" s="4" t="inlineStr">
        <is>
          <t>יא'4</t>
        </is>
      </c>
      <c r="D46" s="4" t="inlineStr"/>
      <c r="E46" s="4" t="n">
        <v>54</v>
      </c>
      <c r="F46" s="4" t="n">
        <v>65.2</v>
      </c>
      <c r="G46" s="4" t="inlineStr">
        <is>
          <t>בינוני</t>
        </is>
      </c>
      <c r="H46" s="4" t="n">
        <v>100</v>
      </c>
      <c r="I46" s="4" t="n">
        <v>100</v>
      </c>
      <c r="J46" s="4" t="n">
        <v>100</v>
      </c>
      <c r="K46" s="4" t="n">
        <v>65</v>
      </c>
      <c r="L46" s="4" t="n">
        <v>85</v>
      </c>
      <c r="M46" s="4" t="n">
        <v>70</v>
      </c>
      <c r="N46" s="4" t="n">
        <v>25</v>
      </c>
    </row>
    <row r="47">
      <c r="A47" s="4" t="inlineStr">
        <is>
          <t>337706980</t>
        </is>
      </c>
      <c r="B47" s="17" t="inlineStr">
        <is>
          <t>דה לאון טורס שמעון מנחם</t>
        </is>
      </c>
      <c r="C47" s="4" t="inlineStr">
        <is>
          <t>יא'1</t>
        </is>
      </c>
      <c r="D47" s="4" t="inlineStr"/>
      <c r="E47" s="4" t="n">
        <v>57</v>
      </c>
      <c r="F47" s="4" t="n">
        <v>65.90000000000001</v>
      </c>
      <c r="G47" s="4" t="inlineStr">
        <is>
          <t>בינוני</t>
        </is>
      </c>
      <c r="H47" s="4" t="n">
        <v>100</v>
      </c>
      <c r="I47" s="4" t="n">
        <v>100</v>
      </c>
      <c r="J47" s="4" t="inlineStr">
        <is>
          <t>—</t>
        </is>
      </c>
      <c r="K47" s="4" t="n">
        <v>65</v>
      </c>
      <c r="L47" s="4" t="n">
        <v>90</v>
      </c>
      <c r="M47" s="4" t="n">
        <v>70</v>
      </c>
      <c r="N47" s="4" t="n">
        <v>25</v>
      </c>
    </row>
    <row r="48">
      <c r="A48" s="4" t="inlineStr">
        <is>
          <t>218773927</t>
        </is>
      </c>
      <c r="B48" s="17" t="inlineStr">
        <is>
          <t>גולדנברג שי-אל פריידה</t>
        </is>
      </c>
      <c r="C48" s="4" t="inlineStr">
        <is>
          <t>יא'6</t>
        </is>
      </c>
      <c r="D48" s="4" t="inlineStr"/>
      <c r="E48" s="4" t="n">
        <v>77</v>
      </c>
      <c r="F48" s="4" t="n">
        <v>67.09999999999999</v>
      </c>
      <c r="G48" s="4" t="inlineStr">
        <is>
          <t>בינוני</t>
        </is>
      </c>
      <c r="H48" s="4" t="n">
        <v>100</v>
      </c>
      <c r="I48" s="4" t="n">
        <v>100</v>
      </c>
      <c r="J48" s="4" t="n">
        <v>100</v>
      </c>
      <c r="K48" s="4" t="n">
        <v>90</v>
      </c>
      <c r="L48" s="4" t="n">
        <v>35</v>
      </c>
      <c r="M48" s="4" t="n">
        <v>70</v>
      </c>
      <c r="N48" s="4" t="n">
        <v>85</v>
      </c>
    </row>
    <row r="49">
      <c r="A49" s="4" t="inlineStr">
        <is>
          <t>218545978</t>
        </is>
      </c>
      <c r="B49" s="17" t="inlineStr">
        <is>
          <t>אברה עילי</t>
        </is>
      </c>
      <c r="C49" s="4" t="inlineStr">
        <is>
          <t>יא'4</t>
        </is>
      </c>
      <c r="D49" s="4" t="inlineStr"/>
      <c r="E49" s="4" t="n">
        <v>67</v>
      </c>
      <c r="F49" s="4" t="n">
        <v>67.7</v>
      </c>
      <c r="G49" s="4" t="inlineStr">
        <is>
          <t>בינוני</t>
        </is>
      </c>
      <c r="H49" s="4" t="n">
        <v>100</v>
      </c>
      <c r="I49" s="4" t="n">
        <v>100</v>
      </c>
      <c r="J49" s="4" t="n">
        <v>100</v>
      </c>
      <c r="K49" s="4" t="n">
        <v>65</v>
      </c>
      <c r="L49" s="4" t="n">
        <v>70</v>
      </c>
      <c r="M49" s="4" t="n">
        <v>70</v>
      </c>
      <c r="N49" s="4" t="n">
        <v>50</v>
      </c>
    </row>
    <row r="50">
      <c r="A50" s="4" t="inlineStr">
        <is>
          <t>217807361</t>
        </is>
      </c>
      <c r="B50" s="17" t="inlineStr">
        <is>
          <t>בן עטר ארד</t>
        </is>
      </c>
      <c r="C50" s="4" t="inlineStr">
        <is>
          <t>יא'6</t>
        </is>
      </c>
      <c r="D50" s="4" t="inlineStr"/>
      <c r="E50" s="4" t="n">
        <v>65</v>
      </c>
      <c r="F50" s="4" t="n">
        <v>68.40000000000001</v>
      </c>
      <c r="G50" s="4" t="inlineStr">
        <is>
          <t>בינוני</t>
        </is>
      </c>
      <c r="H50" s="4" t="n">
        <v>100</v>
      </c>
      <c r="I50" s="4" t="n">
        <v>100</v>
      </c>
      <c r="J50" s="4" t="n">
        <v>100</v>
      </c>
      <c r="K50" s="4" t="n">
        <v>90</v>
      </c>
      <c r="L50" s="4" t="n">
        <v>50</v>
      </c>
      <c r="M50" s="4" t="n">
        <v>90</v>
      </c>
      <c r="N50" s="4" t="n">
        <v>50</v>
      </c>
    </row>
    <row r="51">
      <c r="A51" s="4" t="inlineStr">
        <is>
          <t>218914430</t>
        </is>
      </c>
      <c r="B51" s="17" t="inlineStr">
        <is>
          <t>דורי אלה</t>
        </is>
      </c>
      <c r="C51" s="4" t="inlineStr">
        <is>
          <t>יא'6</t>
        </is>
      </c>
      <c r="D51" s="4" t="inlineStr"/>
      <c r="E51" s="4" t="n">
        <v>69</v>
      </c>
      <c r="F51" s="4" t="n">
        <v>68.40000000000001</v>
      </c>
      <c r="G51" s="4" t="inlineStr">
        <is>
          <t>בינוני</t>
        </is>
      </c>
      <c r="H51" s="4" t="n">
        <v>100</v>
      </c>
      <c r="I51" s="4" t="n">
        <v>100</v>
      </c>
      <c r="J51" s="4" t="n">
        <v>100</v>
      </c>
      <c r="K51" s="4" t="n">
        <v>90</v>
      </c>
      <c r="L51" s="4" t="n">
        <v>50</v>
      </c>
      <c r="M51" s="4" t="n">
        <v>90</v>
      </c>
      <c r="N51" s="4" t="n">
        <v>50</v>
      </c>
    </row>
    <row r="52">
      <c r="A52" s="4" t="inlineStr">
        <is>
          <t>339739120</t>
        </is>
      </c>
      <c r="B52" s="17" t="inlineStr">
        <is>
          <t>קורונל טליס מטאו אומר</t>
        </is>
      </c>
      <c r="C52" s="4" t="inlineStr">
        <is>
          <t>יא'4</t>
        </is>
      </c>
      <c r="D52" s="4" t="inlineStr"/>
      <c r="E52" s="4" t="n">
        <v>60</v>
      </c>
      <c r="F52" s="4" t="n">
        <v>68.7</v>
      </c>
      <c r="G52" s="4" t="inlineStr">
        <is>
          <t>בינוני</t>
        </is>
      </c>
      <c r="H52" s="4" t="n">
        <v>100</v>
      </c>
      <c r="I52" s="4" t="n">
        <v>100</v>
      </c>
      <c r="J52" s="4" t="n">
        <v>100</v>
      </c>
      <c r="K52" s="4" t="n">
        <v>80</v>
      </c>
      <c r="L52" s="4" t="n">
        <v>85</v>
      </c>
      <c r="M52" s="4" t="n">
        <v>70</v>
      </c>
      <c r="N52" s="4" t="n">
        <v>25</v>
      </c>
    </row>
    <row r="53">
      <c r="A53" s="4" t="inlineStr">
        <is>
          <t>333615045</t>
        </is>
      </c>
      <c r="B53" s="17" t="inlineStr">
        <is>
          <t>סבאג יהלי אליס</t>
        </is>
      </c>
      <c r="C53" s="4" t="inlineStr">
        <is>
          <t>יא'6</t>
        </is>
      </c>
      <c r="D53" s="4" t="inlineStr"/>
      <c r="E53" s="4" t="n">
        <v>73</v>
      </c>
      <c r="F53" s="4" t="n">
        <v>69.40000000000001</v>
      </c>
      <c r="G53" s="4" t="inlineStr">
        <is>
          <t>בינוני</t>
        </is>
      </c>
      <c r="H53" s="4" t="n">
        <v>100</v>
      </c>
      <c r="I53" s="4" t="n">
        <v>100</v>
      </c>
      <c r="J53" s="4" t="n">
        <v>100</v>
      </c>
      <c r="K53" s="4" t="n">
        <v>90</v>
      </c>
      <c r="L53" s="4" t="n">
        <v>50</v>
      </c>
      <c r="M53" s="4" t="n">
        <v>70</v>
      </c>
      <c r="N53" s="4" t="n">
        <v>70</v>
      </c>
    </row>
    <row r="54">
      <c r="A54" s="4" t="inlineStr">
        <is>
          <t>218124535</t>
        </is>
      </c>
      <c r="B54" s="17" t="inlineStr">
        <is>
          <t>טגנה אושר-חימנוט</t>
        </is>
      </c>
      <c r="C54" s="4" t="inlineStr">
        <is>
          <t>יא'4</t>
        </is>
      </c>
      <c r="D54" s="4" t="inlineStr"/>
      <c r="E54" s="4" t="n">
        <v>66</v>
      </c>
      <c r="F54" s="4" t="n">
        <v>69.7</v>
      </c>
      <c r="G54" s="4" t="inlineStr">
        <is>
          <t>בינוני</t>
        </is>
      </c>
      <c r="H54" s="4" t="n">
        <v>100</v>
      </c>
      <c r="I54" s="4" t="n">
        <v>100</v>
      </c>
      <c r="J54" s="4" t="n">
        <v>100</v>
      </c>
      <c r="K54" s="4" t="n">
        <v>60</v>
      </c>
      <c r="L54" s="4" t="n">
        <v>80</v>
      </c>
      <c r="M54" s="4" t="n">
        <v>90</v>
      </c>
      <c r="N54" s="4" t="n">
        <v>50</v>
      </c>
    </row>
    <row r="55">
      <c r="A55" s="4" t="inlineStr">
        <is>
          <t>218068807</t>
        </is>
      </c>
      <c r="B55" s="17" t="inlineStr">
        <is>
          <t>גבאי שגב</t>
        </is>
      </c>
      <c r="C55" s="4" t="inlineStr">
        <is>
          <t>יא'6</t>
        </is>
      </c>
      <c r="D55" s="4" t="inlineStr"/>
      <c r="E55" s="4" t="n">
        <v>80</v>
      </c>
      <c r="F55" s="4" t="n">
        <v>72.90000000000001</v>
      </c>
      <c r="G55" s="4" t="inlineStr">
        <is>
          <t>בינוני</t>
        </is>
      </c>
      <c r="H55" s="4" t="n">
        <v>95</v>
      </c>
      <c r="I55" s="4" t="n">
        <v>100</v>
      </c>
      <c r="J55" s="4" t="n">
        <v>100</v>
      </c>
      <c r="K55" s="4" t="n">
        <v>60</v>
      </c>
      <c r="L55" s="4" t="n">
        <v>50</v>
      </c>
      <c r="M55" s="4" t="n">
        <v>70</v>
      </c>
      <c r="N55" s="4" t="n">
        <v>100</v>
      </c>
    </row>
    <row r="56">
      <c r="A56" s="4" t="inlineStr">
        <is>
          <t>217817220</t>
        </is>
      </c>
      <c r="B56" s="17" t="inlineStr">
        <is>
          <t>ביטאו עילאי</t>
        </is>
      </c>
      <c r="C56" s="4" t="inlineStr">
        <is>
          <t>יא'5</t>
        </is>
      </c>
      <c r="D56" s="4" t="inlineStr"/>
      <c r="E56" s="4" t="n">
        <v>75</v>
      </c>
      <c r="F56" s="4" t="n">
        <v>73.2</v>
      </c>
      <c r="G56" s="4" t="inlineStr">
        <is>
          <t>בינוני</t>
        </is>
      </c>
      <c r="H56" s="4" t="n">
        <v>95</v>
      </c>
      <c r="I56" s="4" t="n">
        <v>100</v>
      </c>
      <c r="J56" s="4" t="n">
        <v>100</v>
      </c>
      <c r="K56" s="4" t="n">
        <v>80</v>
      </c>
      <c r="L56" s="4" t="n">
        <v>55</v>
      </c>
      <c r="M56" s="4" t="n">
        <v>70</v>
      </c>
      <c r="N56" s="4" t="n">
        <v>85</v>
      </c>
    </row>
    <row r="57">
      <c r="A57" s="4" t="inlineStr">
        <is>
          <t>333136471</t>
        </is>
      </c>
      <c r="B57" s="17" t="inlineStr">
        <is>
          <t>פיצחדזה ניקול</t>
        </is>
      </c>
      <c r="C57" s="4" t="inlineStr">
        <is>
          <t>יא'2</t>
        </is>
      </c>
      <c r="D57" s="4" t="inlineStr">
        <is>
          <t>★</t>
        </is>
      </c>
      <c r="E57" s="4" t="n">
        <v>96</v>
      </c>
      <c r="F57" s="4" t="n">
        <v>73.40000000000001</v>
      </c>
      <c r="G57" s="4" t="inlineStr">
        <is>
          <t>בינוני</t>
        </is>
      </c>
      <c r="H57" s="4" t="n">
        <v>100</v>
      </c>
      <c r="I57" s="4" t="inlineStr">
        <is>
          <t>—</t>
        </is>
      </c>
      <c r="J57" s="4" t="n">
        <v>100</v>
      </c>
      <c r="K57" s="4" t="n">
        <v>50</v>
      </c>
      <c r="L57" s="4" t="n">
        <v>85</v>
      </c>
      <c r="M57" s="4" t="n">
        <v>70</v>
      </c>
      <c r="N57" s="4" t="n">
        <v>100</v>
      </c>
    </row>
    <row r="58">
      <c r="A58" s="4" t="inlineStr">
        <is>
          <t>327790028</t>
        </is>
      </c>
      <c r="B58" s="17" t="inlineStr">
        <is>
          <t>אבו פני אדהם</t>
        </is>
      </c>
      <c r="C58" s="4" t="inlineStr">
        <is>
          <t>יא'5</t>
        </is>
      </c>
      <c r="D58" s="4" t="inlineStr">
        <is>
          <t>★</t>
        </is>
      </c>
      <c r="E58" s="4" t="n">
        <v>88</v>
      </c>
      <c r="F58" s="4" t="n">
        <v>73.7</v>
      </c>
      <c r="G58" s="4" t="inlineStr">
        <is>
          <t>בינוני</t>
        </is>
      </c>
      <c r="H58" s="4" t="n">
        <v>100</v>
      </c>
      <c r="I58" s="4" t="n">
        <v>100</v>
      </c>
      <c r="J58" s="4" t="n">
        <v>100</v>
      </c>
      <c r="K58" s="4" t="n">
        <v>90</v>
      </c>
      <c r="L58" s="4" t="n">
        <v>50</v>
      </c>
      <c r="M58" s="4" t="n">
        <v>70</v>
      </c>
      <c r="N58" s="4" t="n">
        <v>100</v>
      </c>
    </row>
    <row r="59">
      <c r="A59" s="4" t="inlineStr">
        <is>
          <t>337861850</t>
        </is>
      </c>
      <c r="B59" s="17" t="inlineStr">
        <is>
          <t>לבטוב ולדיסלב</t>
        </is>
      </c>
      <c r="C59" s="4" t="inlineStr">
        <is>
          <t>יא'4</t>
        </is>
      </c>
      <c r="D59" s="4" t="inlineStr"/>
      <c r="E59" s="4" t="n">
        <v>72</v>
      </c>
      <c r="F59" s="4" t="n">
        <v>74.7</v>
      </c>
      <c r="G59" s="4" t="inlineStr">
        <is>
          <t>בינוני</t>
        </is>
      </c>
      <c r="H59" s="4" t="n">
        <v>100</v>
      </c>
      <c r="I59" s="4" t="n">
        <v>100</v>
      </c>
      <c r="J59" s="4" t="n">
        <v>100</v>
      </c>
      <c r="K59" s="4" t="n">
        <v>90</v>
      </c>
      <c r="L59" s="4" t="n">
        <v>65</v>
      </c>
      <c r="M59" s="4" t="n">
        <v>70</v>
      </c>
      <c r="N59" s="4" t="n">
        <v>70</v>
      </c>
    </row>
    <row r="60">
      <c r="A60" s="4" t="inlineStr">
        <is>
          <t>218865681</t>
        </is>
      </c>
      <c r="B60" s="17" t="inlineStr">
        <is>
          <t>משין מישל</t>
        </is>
      </c>
      <c r="C60" s="4" t="inlineStr">
        <is>
          <t>יא'6</t>
        </is>
      </c>
      <c r="D60" s="4" t="inlineStr"/>
      <c r="E60" s="4" t="n">
        <v>87</v>
      </c>
      <c r="F60" s="4" t="n">
        <v>77.7</v>
      </c>
      <c r="G60" s="4" t="inlineStr">
        <is>
          <t>בינוני</t>
        </is>
      </c>
      <c r="H60" s="4" t="n">
        <v>100</v>
      </c>
      <c r="I60" s="4" t="n">
        <v>100</v>
      </c>
      <c r="J60" s="4" t="n">
        <v>100</v>
      </c>
      <c r="K60" s="4" t="n">
        <v>65</v>
      </c>
      <c r="L60" s="4" t="n">
        <v>65</v>
      </c>
      <c r="M60" s="4" t="n">
        <v>70</v>
      </c>
      <c r="N60" s="4" t="n">
        <v>100</v>
      </c>
    </row>
    <row r="61">
      <c r="A61" s="4" t="inlineStr">
        <is>
          <t>332883065</t>
        </is>
      </c>
      <c r="B61" s="17" t="inlineStr">
        <is>
          <t>בן עמי יהונתן</t>
        </is>
      </c>
      <c r="C61" s="4" t="inlineStr">
        <is>
          <t>יא'4</t>
        </is>
      </c>
      <c r="D61" s="4" t="inlineStr"/>
      <c r="E61" s="4" t="n">
        <v>71</v>
      </c>
      <c r="F61" s="4" t="n">
        <v>78.5</v>
      </c>
      <c r="G61" s="4" t="inlineStr">
        <is>
          <t>בינוני</t>
        </is>
      </c>
      <c r="H61" s="4" t="n">
        <v>100</v>
      </c>
      <c r="I61" s="4" t="n">
        <v>100</v>
      </c>
      <c r="J61" s="4" t="n">
        <v>100</v>
      </c>
      <c r="K61" s="4" t="n">
        <v>90</v>
      </c>
      <c r="L61" s="4" t="n">
        <v>85</v>
      </c>
      <c r="M61" s="4" t="n">
        <v>50</v>
      </c>
      <c r="N61" s="4" t="n">
        <v>70</v>
      </c>
    </row>
    <row r="62">
      <c r="A62" s="18" t="inlineStr">
        <is>
          <t>218504579</t>
        </is>
      </c>
      <c r="B62" s="19" t="inlineStr">
        <is>
          <t>לוקס סיון</t>
        </is>
      </c>
      <c r="C62" s="18" t="inlineStr">
        <is>
          <t>יא'1</t>
        </is>
      </c>
      <c r="D62" s="18" t="inlineStr"/>
      <c r="E62" s="18" t="n">
        <v>88</v>
      </c>
      <c r="F62" s="18" t="n">
        <v>81.5</v>
      </c>
      <c r="G62" s="18" t="inlineStr">
        <is>
          <t>נמוך</t>
        </is>
      </c>
      <c r="H62" s="18" t="n">
        <v>70</v>
      </c>
      <c r="I62" s="18" t="n">
        <v>100</v>
      </c>
      <c r="J62" s="18" t="n">
        <v>100</v>
      </c>
      <c r="K62" s="18" t="n">
        <v>90</v>
      </c>
      <c r="L62" s="18" t="n">
        <v>85</v>
      </c>
      <c r="M62" s="18" t="n">
        <v>70</v>
      </c>
      <c r="N62" s="18" t="n">
        <v>100</v>
      </c>
    </row>
    <row r="63">
      <c r="A63" s="18" t="inlineStr">
        <is>
          <t>333591568</t>
        </is>
      </c>
      <c r="B63" s="19" t="inlineStr">
        <is>
          <t>יעקבי אלה</t>
        </is>
      </c>
      <c r="C63" s="18" t="inlineStr">
        <is>
          <t>יא'6</t>
        </is>
      </c>
      <c r="D63" s="18" t="inlineStr"/>
      <c r="E63" s="18" t="n">
        <v>87</v>
      </c>
      <c r="F63" s="18" t="n">
        <v>81.90000000000001</v>
      </c>
      <c r="G63" s="18" t="inlineStr">
        <is>
          <t>נמוך</t>
        </is>
      </c>
      <c r="H63" s="18" t="n">
        <v>100</v>
      </c>
      <c r="I63" s="18" t="n">
        <v>100</v>
      </c>
      <c r="J63" s="18" t="n">
        <v>100</v>
      </c>
      <c r="K63" s="18" t="n">
        <v>90</v>
      </c>
      <c r="L63" s="18" t="n">
        <v>65</v>
      </c>
      <c r="M63" s="18" t="n">
        <v>90</v>
      </c>
      <c r="N63" s="18" t="n">
        <v>100</v>
      </c>
    </row>
    <row r="64">
      <c r="A64" s="18" t="inlineStr">
        <is>
          <t>333136463</t>
        </is>
      </c>
      <c r="B64" s="19" t="inlineStr">
        <is>
          <t>פיצחדזה ניקה</t>
        </is>
      </c>
      <c r="C64" s="18" t="inlineStr">
        <is>
          <t>יא'4</t>
        </is>
      </c>
      <c r="D64" s="18" t="inlineStr"/>
      <c r="E64" s="18" t="n">
        <v>92</v>
      </c>
      <c r="F64" s="18" t="n">
        <v>82.2</v>
      </c>
      <c r="G64" s="18" t="inlineStr">
        <is>
          <t>נמוך</t>
        </is>
      </c>
      <c r="H64" s="18" t="n">
        <v>95</v>
      </c>
      <c r="I64" s="18" t="n">
        <v>100</v>
      </c>
      <c r="J64" s="18" t="n">
        <v>100</v>
      </c>
      <c r="K64" s="18" t="n">
        <v>80</v>
      </c>
      <c r="L64" s="18" t="n">
        <v>65</v>
      </c>
      <c r="M64" s="18" t="n">
        <v>90</v>
      </c>
      <c r="N64" s="18" t="n">
        <v>100</v>
      </c>
    </row>
    <row r="65">
      <c r="A65" s="18" t="inlineStr">
        <is>
          <t>333171304</t>
        </is>
      </c>
      <c r="B65" s="19" t="inlineStr">
        <is>
          <t>טל-אור ליה</t>
        </is>
      </c>
      <c r="C65" s="18" t="inlineStr">
        <is>
          <t>יא'5</t>
        </is>
      </c>
      <c r="D65" s="18" t="inlineStr"/>
      <c r="E65" s="18" t="n">
        <v>88</v>
      </c>
      <c r="F65" s="18" t="n">
        <v>82.5</v>
      </c>
      <c r="G65" s="18" t="inlineStr">
        <is>
          <t>נמוך</t>
        </is>
      </c>
      <c r="H65" s="18" t="n">
        <v>100</v>
      </c>
      <c r="I65" s="18" t="n">
        <v>100</v>
      </c>
      <c r="J65" s="18" t="n">
        <v>100</v>
      </c>
      <c r="K65" s="18" t="n">
        <v>80</v>
      </c>
      <c r="L65" s="18" t="n">
        <v>85</v>
      </c>
      <c r="M65" s="18" t="n">
        <v>50</v>
      </c>
      <c r="N65" s="18" t="n">
        <v>100</v>
      </c>
    </row>
    <row r="66">
      <c r="A66" s="18" t="inlineStr">
        <is>
          <t>217978212</t>
        </is>
      </c>
      <c r="B66" s="19" t="inlineStr">
        <is>
          <t>ניסן אורטל</t>
        </is>
      </c>
      <c r="C66" s="18" t="inlineStr">
        <is>
          <t>יא'2</t>
        </is>
      </c>
      <c r="D66" s="18" t="inlineStr">
        <is>
          <t>★</t>
        </is>
      </c>
      <c r="E66" s="18" t="n">
        <v>75</v>
      </c>
      <c r="F66" s="18" t="n">
        <v>84.3</v>
      </c>
      <c r="G66" s="18" t="inlineStr">
        <is>
          <t>נמוך</t>
        </is>
      </c>
      <c r="H66" s="18" t="n">
        <v>100</v>
      </c>
      <c r="I66" s="18" t="inlineStr">
        <is>
          <t>—</t>
        </is>
      </c>
      <c r="J66" s="18" t="n">
        <v>100</v>
      </c>
      <c r="K66" s="18" t="n">
        <v>80</v>
      </c>
      <c r="L66" s="18" t="n">
        <v>85</v>
      </c>
      <c r="M66" s="18" t="n">
        <v>90</v>
      </c>
      <c r="N66" s="18" t="n">
        <v>85</v>
      </c>
    </row>
    <row r="67">
      <c r="A67" s="18" t="inlineStr">
        <is>
          <t>217885219</t>
        </is>
      </c>
      <c r="B67" s="19" t="inlineStr">
        <is>
          <t>דקל טומי</t>
        </is>
      </c>
      <c r="C67" s="18" t="inlineStr">
        <is>
          <t>יא'6</t>
        </is>
      </c>
      <c r="D67" s="18" t="inlineStr"/>
      <c r="E67" s="18" t="n">
        <v>70</v>
      </c>
      <c r="F67" s="18" t="n">
        <v>84.5</v>
      </c>
      <c r="G67" s="18" t="inlineStr">
        <is>
          <t>נמוך</t>
        </is>
      </c>
      <c r="H67" s="18" t="n">
        <v>100</v>
      </c>
      <c r="I67" s="18" t="n">
        <v>100</v>
      </c>
      <c r="J67" s="18" t="n">
        <v>100</v>
      </c>
      <c r="K67" s="18" t="n">
        <v>90</v>
      </c>
      <c r="L67" s="18" t="n">
        <v>85</v>
      </c>
      <c r="M67" s="18" t="n">
        <v>90</v>
      </c>
      <c r="N67" s="18" t="n">
        <v>70</v>
      </c>
    </row>
    <row r="68">
      <c r="A68" s="18" t="inlineStr">
        <is>
          <t>332540202</t>
        </is>
      </c>
      <c r="B68" s="19" t="inlineStr">
        <is>
          <t>לרדו אגתה</t>
        </is>
      </c>
      <c r="C68" s="18" t="inlineStr">
        <is>
          <t>יא'5</t>
        </is>
      </c>
      <c r="D68" s="18" t="inlineStr"/>
      <c r="E68" s="18" t="n">
        <v>77</v>
      </c>
      <c r="F68" s="18" t="n">
        <v>85.09999999999999</v>
      </c>
      <c r="G68" s="18" t="inlineStr">
        <is>
          <t>נמוך</t>
        </is>
      </c>
      <c r="H68" s="18" t="n">
        <v>95</v>
      </c>
      <c r="I68" s="18" t="n">
        <v>100</v>
      </c>
      <c r="J68" s="18" t="inlineStr">
        <is>
          <t>—</t>
        </is>
      </c>
      <c r="K68" s="18" t="n">
        <v>90</v>
      </c>
      <c r="L68" s="18" t="n">
        <v>85</v>
      </c>
      <c r="M68" s="18" t="n">
        <v>90</v>
      </c>
      <c r="N68" s="18" t="n">
        <v>85</v>
      </c>
    </row>
    <row r="69">
      <c r="A69" s="18" t="inlineStr">
        <is>
          <t>312399801</t>
        </is>
      </c>
      <c r="B69" s="19" t="inlineStr">
        <is>
          <t>כהן נופר</t>
        </is>
      </c>
      <c r="C69" s="18" t="inlineStr">
        <is>
          <t>יא'5</t>
        </is>
      </c>
      <c r="D69" s="18" t="inlineStr"/>
      <c r="E69" s="18" t="n">
        <v>80</v>
      </c>
      <c r="F69" s="18" t="n">
        <v>85.5</v>
      </c>
      <c r="G69" s="18" t="inlineStr">
        <is>
          <t>נמוך</t>
        </is>
      </c>
      <c r="H69" s="18" t="n">
        <v>100</v>
      </c>
      <c r="I69" s="18" t="n">
        <v>100</v>
      </c>
      <c r="J69" s="18" t="n">
        <v>100</v>
      </c>
      <c r="K69" s="18" t="n">
        <v>80</v>
      </c>
      <c r="L69" s="18" t="n">
        <v>85</v>
      </c>
      <c r="M69" s="18" t="n">
        <v>70</v>
      </c>
      <c r="N69" s="18" t="n">
        <v>100</v>
      </c>
    </row>
    <row r="70">
      <c r="A70" s="18" t="inlineStr">
        <is>
          <t>334230489</t>
        </is>
      </c>
      <c r="B70" s="19" t="inlineStr">
        <is>
          <t>טל אייל</t>
        </is>
      </c>
      <c r="C70" s="18" t="inlineStr">
        <is>
          <t>יא'4</t>
        </is>
      </c>
      <c r="D70" s="18" t="inlineStr"/>
      <c r="E70" s="18" t="n">
        <v>96</v>
      </c>
      <c r="F70" s="18" t="n">
        <v>87.2</v>
      </c>
      <c r="G70" s="18" t="inlineStr">
        <is>
          <t>נמוך</t>
        </is>
      </c>
      <c r="H70" s="18" t="n">
        <v>100</v>
      </c>
      <c r="I70" s="18" t="n">
        <v>100</v>
      </c>
      <c r="J70" s="18" t="n">
        <v>100</v>
      </c>
      <c r="K70" s="18" t="n">
        <v>90</v>
      </c>
      <c r="L70" s="18" t="n">
        <v>80</v>
      </c>
      <c r="M70" s="18" t="n">
        <v>90</v>
      </c>
      <c r="N70" s="18" t="n">
        <v>100</v>
      </c>
    </row>
    <row r="71">
      <c r="A71" s="18" t="inlineStr">
        <is>
          <t>333693950</t>
        </is>
      </c>
      <c r="B71" s="19" t="inlineStr">
        <is>
          <t>בן-יצחק יובל</t>
        </is>
      </c>
      <c r="C71" s="18" t="inlineStr">
        <is>
          <t>יא'6</t>
        </is>
      </c>
      <c r="D71" s="18" t="inlineStr"/>
      <c r="E71" s="18" t="n">
        <v>81</v>
      </c>
      <c r="F71" s="18" t="n">
        <v>87.5</v>
      </c>
      <c r="G71" s="18" t="inlineStr">
        <is>
          <t>נמוך</t>
        </is>
      </c>
      <c r="H71" s="18" t="n">
        <v>100</v>
      </c>
      <c r="I71" s="18" t="n">
        <v>100</v>
      </c>
      <c r="J71" s="18" t="n">
        <v>100</v>
      </c>
      <c r="K71" s="18" t="n">
        <v>90</v>
      </c>
      <c r="L71" s="18" t="n">
        <v>85</v>
      </c>
      <c r="M71" s="18" t="n">
        <v>70</v>
      </c>
      <c r="N71" s="18" t="n">
        <v>100</v>
      </c>
    </row>
    <row r="72">
      <c r="A72" s="18" t="inlineStr">
        <is>
          <t>337761845</t>
        </is>
      </c>
      <c r="B72" s="19" t="inlineStr">
        <is>
          <t>סבוסקין ורוניקה</t>
        </is>
      </c>
      <c r="C72" s="18" t="inlineStr">
        <is>
          <t>יא'6</t>
        </is>
      </c>
      <c r="D72" s="18" t="inlineStr"/>
      <c r="E72" s="18" t="n">
        <v>80</v>
      </c>
      <c r="F72" s="18" t="n">
        <v>87.5</v>
      </c>
      <c r="G72" s="18" t="inlineStr">
        <is>
          <t>נמוך</t>
        </is>
      </c>
      <c r="H72" s="18" t="n">
        <v>100</v>
      </c>
      <c r="I72" s="18" t="n">
        <v>100</v>
      </c>
      <c r="J72" s="18" t="n">
        <v>100</v>
      </c>
      <c r="K72" s="18" t="n">
        <v>90</v>
      </c>
      <c r="L72" s="18" t="n">
        <v>85</v>
      </c>
      <c r="M72" s="18" t="n">
        <v>70</v>
      </c>
      <c r="N72" s="18" t="n">
        <v>100</v>
      </c>
    </row>
    <row r="73">
      <c r="A73" s="18" t="inlineStr">
        <is>
          <t>333712065</t>
        </is>
      </c>
      <c r="B73" s="19" t="inlineStr">
        <is>
          <t>טספאי אורין</t>
        </is>
      </c>
      <c r="C73" s="18" t="inlineStr">
        <is>
          <t>יא'1</t>
        </is>
      </c>
      <c r="D73" s="18" t="inlineStr"/>
      <c r="E73" s="18" t="n">
        <v>83</v>
      </c>
      <c r="F73" s="18" t="n">
        <v>87.7</v>
      </c>
      <c r="G73" s="18" t="inlineStr">
        <is>
          <t>נמוך</t>
        </is>
      </c>
      <c r="H73" s="18" t="n">
        <v>100</v>
      </c>
      <c r="I73" s="18" t="n">
        <v>100</v>
      </c>
      <c r="J73" s="18" t="n">
        <v>100</v>
      </c>
      <c r="K73" s="18" t="n">
        <v>80</v>
      </c>
      <c r="L73" s="18" t="n">
        <v>85</v>
      </c>
      <c r="M73" s="18" t="n">
        <v>90</v>
      </c>
      <c r="N73" s="18" t="n">
        <v>100</v>
      </c>
    </row>
    <row r="74">
      <c r="A74" s="18" t="inlineStr"/>
      <c r="B74" s="19" t="inlineStr">
        <is>
          <t>קונטררס קריא אילנה ולנטינה</t>
        </is>
      </c>
      <c r="C74" s="18" t="inlineStr">
        <is>
          <t>יא'5</t>
        </is>
      </c>
      <c r="D74" s="18" t="inlineStr"/>
      <c r="E74" s="18" t="n">
        <v>80</v>
      </c>
      <c r="F74" s="18" t="n">
        <v>88.7</v>
      </c>
      <c r="G74" s="18" t="inlineStr">
        <is>
          <t>נמוך</t>
        </is>
      </c>
      <c r="H74" s="18" t="n">
        <v>100</v>
      </c>
      <c r="I74" s="18" t="n">
        <v>100</v>
      </c>
      <c r="J74" s="18" t="n">
        <v>100</v>
      </c>
      <c r="K74" s="18" t="n">
        <v>90</v>
      </c>
      <c r="L74" s="18" t="n">
        <v>85</v>
      </c>
      <c r="M74" s="18" t="n">
        <v>90</v>
      </c>
      <c r="N74" s="18" t="n">
        <v>100</v>
      </c>
    </row>
    <row r="75">
      <c r="A75" s="18" t="inlineStr">
        <is>
          <t>332992031</t>
        </is>
      </c>
      <c r="B75" s="19" t="inlineStr">
        <is>
          <t>מזרחי איתי</t>
        </is>
      </c>
      <c r="C75" s="18" t="inlineStr">
        <is>
          <t>יא'4</t>
        </is>
      </c>
      <c r="D75" s="18" t="inlineStr"/>
      <c r="E75" s="18" t="n">
        <v>80</v>
      </c>
      <c r="F75" s="18" t="n">
        <v>89</v>
      </c>
      <c r="G75" s="18" t="inlineStr">
        <is>
          <t>נמוך</t>
        </is>
      </c>
      <c r="H75" s="18" t="n">
        <v>100</v>
      </c>
      <c r="I75" s="18" t="n">
        <v>100</v>
      </c>
      <c r="J75" s="18" t="n">
        <v>100</v>
      </c>
      <c r="K75" s="18" t="n">
        <v>90</v>
      </c>
      <c r="L75" s="18" t="n">
        <v>80</v>
      </c>
      <c r="M75" s="18" t="n">
        <v>90</v>
      </c>
      <c r="N75" s="18" t="n">
        <v>100</v>
      </c>
    </row>
    <row r="76">
      <c r="A76" s="18" t="inlineStr">
        <is>
          <t>334125614</t>
        </is>
      </c>
      <c r="B76" s="19" t="inlineStr">
        <is>
          <t>וקנין הלל</t>
        </is>
      </c>
      <c r="C76" s="18" t="inlineStr">
        <is>
          <t>יא'6</t>
        </is>
      </c>
      <c r="D76" s="18" t="inlineStr"/>
      <c r="E76" s="18" t="n">
        <v>85</v>
      </c>
      <c r="F76" s="18" t="n">
        <v>89</v>
      </c>
      <c r="G76" s="18" t="inlineStr">
        <is>
          <t>נמוך</t>
        </is>
      </c>
      <c r="H76" s="18" t="n">
        <v>100</v>
      </c>
      <c r="I76" s="18" t="n">
        <v>100</v>
      </c>
      <c r="J76" s="18" t="n">
        <v>100</v>
      </c>
      <c r="K76" s="18" t="n">
        <v>90</v>
      </c>
      <c r="L76" s="18" t="n">
        <v>80</v>
      </c>
      <c r="M76" s="18" t="n">
        <v>90</v>
      </c>
      <c r="N76" s="18" t="n">
        <v>100</v>
      </c>
    </row>
    <row r="77">
      <c r="A77" s="18" t="inlineStr">
        <is>
          <t>333060366</t>
        </is>
      </c>
      <c r="B77" s="19" t="inlineStr">
        <is>
          <t>שטר אפרת דבורה</t>
        </is>
      </c>
      <c r="C77" s="18" t="inlineStr">
        <is>
          <t>יא'5</t>
        </is>
      </c>
      <c r="D77" s="18" t="inlineStr"/>
      <c r="E77" s="18" t="n">
        <v>84</v>
      </c>
      <c r="F77" s="18" t="n">
        <v>89.40000000000001</v>
      </c>
      <c r="G77" s="18" t="inlineStr">
        <is>
          <t>נמוך</t>
        </is>
      </c>
      <c r="H77" s="18" t="n">
        <v>100</v>
      </c>
      <c r="I77" s="18" t="n">
        <v>100</v>
      </c>
      <c r="J77" s="18" t="inlineStr">
        <is>
          <t>—</t>
        </is>
      </c>
      <c r="K77" s="18" t="n">
        <v>90</v>
      </c>
      <c r="L77" s="18" t="n">
        <v>85</v>
      </c>
      <c r="M77" s="18" t="n">
        <v>90</v>
      </c>
      <c r="N77" s="18" t="n">
        <v>100</v>
      </c>
    </row>
    <row r="78">
      <c r="A78" s="18" t="inlineStr">
        <is>
          <t>217425321</t>
        </is>
      </c>
      <c r="B78" s="19" t="inlineStr">
        <is>
          <t>צריקר נועם</t>
        </is>
      </c>
      <c r="C78" s="18" t="inlineStr">
        <is>
          <t>יא'5</t>
        </is>
      </c>
      <c r="D78" s="18" t="inlineStr"/>
      <c r="E78" s="18" t="n">
        <v>87</v>
      </c>
      <c r="F78" s="18" t="n">
        <v>90.5</v>
      </c>
      <c r="G78" s="18" t="inlineStr">
        <is>
          <t>נמוך</t>
        </is>
      </c>
      <c r="H78" s="18" t="n">
        <v>100</v>
      </c>
      <c r="I78" s="18" t="n">
        <v>100</v>
      </c>
      <c r="J78" s="18" t="n">
        <v>100</v>
      </c>
      <c r="K78" s="18" t="n">
        <v>90</v>
      </c>
      <c r="L78" s="18" t="n">
        <v>85</v>
      </c>
      <c r="M78" s="18" t="n">
        <v>90</v>
      </c>
      <c r="N78" s="18" t="n">
        <v>100</v>
      </c>
    </row>
    <row r="79">
      <c r="A79" s="18" t="inlineStr">
        <is>
          <t>332145028</t>
        </is>
      </c>
      <c r="B79" s="19" t="inlineStr">
        <is>
          <t>קולט מאי</t>
        </is>
      </c>
      <c r="C79" s="18" t="inlineStr">
        <is>
          <t>יא'6</t>
        </is>
      </c>
      <c r="D79" s="18" t="inlineStr"/>
      <c r="E79" s="18" t="n">
        <v>89</v>
      </c>
      <c r="F79" s="18" t="n">
        <v>90.5</v>
      </c>
      <c r="G79" s="18" t="inlineStr">
        <is>
          <t>נמוך</t>
        </is>
      </c>
      <c r="H79" s="18" t="n">
        <v>100</v>
      </c>
      <c r="I79" s="18" t="n">
        <v>100</v>
      </c>
      <c r="J79" s="18" t="n">
        <v>100</v>
      </c>
      <c r="K79" s="18" t="n">
        <v>90</v>
      </c>
      <c r="L79" s="18" t="n">
        <v>85</v>
      </c>
      <c r="M79" s="18" t="n">
        <v>90</v>
      </c>
      <c r="N79" s="18" t="n">
        <v>100</v>
      </c>
    </row>
    <row r="80">
      <c r="A80" s="18" t="inlineStr">
        <is>
          <t>333567329</t>
        </is>
      </c>
      <c r="B80" s="19" t="inlineStr">
        <is>
          <t>מיכאלי אביגיל</t>
        </is>
      </c>
      <c r="C80" s="18" t="inlineStr">
        <is>
          <t>יא'4</t>
        </is>
      </c>
      <c r="D80" s="18" t="inlineStr"/>
      <c r="E80" s="18" t="n">
        <v>82</v>
      </c>
      <c r="F80" s="18" t="n">
        <v>91.5</v>
      </c>
      <c r="G80" s="18" t="inlineStr">
        <is>
          <t>נמוך</t>
        </is>
      </c>
      <c r="H80" s="18" t="n">
        <v>100</v>
      </c>
      <c r="I80" s="18" t="n">
        <v>100</v>
      </c>
      <c r="J80" s="18" t="n">
        <v>100</v>
      </c>
      <c r="K80" s="18" t="n">
        <v>90</v>
      </c>
      <c r="L80" s="18" t="n">
        <v>90</v>
      </c>
      <c r="M80" s="18" t="n">
        <v>90</v>
      </c>
      <c r="N80" s="18" t="n">
        <v>100</v>
      </c>
    </row>
    <row r="81">
      <c r="A81" s="18" t="inlineStr">
        <is>
          <t>333183259</t>
        </is>
      </c>
      <c r="B81" s="19" t="inlineStr">
        <is>
          <t>רוי אמיליה</t>
        </is>
      </c>
      <c r="C81" s="18" t="inlineStr">
        <is>
          <t>יא'5</t>
        </is>
      </c>
      <c r="D81" s="18" t="inlineStr"/>
      <c r="E81" s="18" t="n">
        <v>94</v>
      </c>
      <c r="F81" s="18" t="n">
        <v>91.5</v>
      </c>
      <c r="G81" s="18" t="inlineStr">
        <is>
          <t>נמוך</t>
        </is>
      </c>
      <c r="H81" s="18" t="n">
        <v>100</v>
      </c>
      <c r="I81" s="18" t="n">
        <v>100</v>
      </c>
      <c r="J81" s="18" t="n">
        <v>100</v>
      </c>
      <c r="K81" s="18" t="n">
        <v>90</v>
      </c>
      <c r="L81" s="18" t="n">
        <v>90</v>
      </c>
      <c r="M81" s="18" t="n">
        <v>90</v>
      </c>
      <c r="N81" s="18" t="n">
        <v>100</v>
      </c>
    </row>
    <row r="82">
      <c r="A82" s="18" t="inlineStr">
        <is>
          <t>218533115</t>
        </is>
      </c>
      <c r="B82" s="19" t="inlineStr">
        <is>
          <t>כהן ליעד</t>
        </is>
      </c>
      <c r="C82" s="18" t="inlineStr">
        <is>
          <t>יא'6</t>
        </is>
      </c>
      <c r="D82" s="18" t="inlineStr"/>
      <c r="E82" s="18" t="n">
        <v>91</v>
      </c>
      <c r="F82" s="18" t="n">
        <v>92.5</v>
      </c>
      <c r="G82" s="18" t="inlineStr">
        <is>
          <t>נמוך</t>
        </is>
      </c>
      <c r="H82" s="18" t="n">
        <v>100</v>
      </c>
      <c r="I82" s="18" t="n">
        <v>100</v>
      </c>
      <c r="J82" s="18" t="n">
        <v>100</v>
      </c>
      <c r="K82" s="18" t="n">
        <v>90</v>
      </c>
      <c r="L82" s="18" t="n">
        <v>90</v>
      </c>
      <c r="M82" s="18" t="n">
        <v>90</v>
      </c>
      <c r="N82" s="18" t="n">
        <v>100</v>
      </c>
    </row>
    <row r="83">
      <c r="A83" s="18" t="inlineStr">
        <is>
          <t>333167740</t>
        </is>
      </c>
      <c r="B83" s="19" t="inlineStr">
        <is>
          <t>גושן מיכאל</t>
        </is>
      </c>
      <c r="C83" s="18" t="inlineStr">
        <is>
          <t>יא'4</t>
        </is>
      </c>
      <c r="D83" s="18" t="inlineStr"/>
      <c r="E83" s="18" t="n">
        <v>96</v>
      </c>
      <c r="F83" s="18" t="n">
        <v>93.2</v>
      </c>
      <c r="G83" s="18" t="inlineStr">
        <is>
          <t>נמוך</t>
        </is>
      </c>
      <c r="H83" s="18" t="n">
        <v>100</v>
      </c>
      <c r="I83" s="18" t="n">
        <v>100</v>
      </c>
      <c r="J83" s="18" t="n">
        <v>100</v>
      </c>
      <c r="K83" s="18" t="n">
        <v>90</v>
      </c>
      <c r="L83" s="18" t="n">
        <v>90</v>
      </c>
      <c r="M83" s="18" t="n">
        <v>90</v>
      </c>
      <c r="N83" s="18" t="n">
        <v>100</v>
      </c>
    </row>
    <row r="84">
      <c r="A84" s="18" t="inlineStr">
        <is>
          <t>333295343</t>
        </is>
      </c>
      <c r="B84" s="19" t="inlineStr">
        <is>
          <t>גואיטה אגם</t>
        </is>
      </c>
      <c r="C84" s="18" t="inlineStr">
        <is>
          <t>יא'5</t>
        </is>
      </c>
      <c r="D84" s="18" t="inlineStr"/>
      <c r="E84" s="18" t="n">
        <v>88</v>
      </c>
      <c r="F84" s="18" t="n">
        <v>93.2</v>
      </c>
      <c r="G84" s="18" t="inlineStr">
        <is>
          <t>נמוך</t>
        </is>
      </c>
      <c r="H84" s="18" t="n">
        <v>100</v>
      </c>
      <c r="I84" s="18" t="n">
        <v>100</v>
      </c>
      <c r="J84" s="18" t="n">
        <v>100</v>
      </c>
      <c r="K84" s="18" t="n">
        <v>90</v>
      </c>
      <c r="L84" s="18" t="n">
        <v>90</v>
      </c>
      <c r="M84" s="18" t="n">
        <v>90</v>
      </c>
      <c r="N84" s="18" t="n">
        <v>100</v>
      </c>
    </row>
    <row r="85">
      <c r="A85" s="18" t="inlineStr">
        <is>
          <t>218143352</t>
        </is>
      </c>
      <c r="B85" s="19" t="inlineStr">
        <is>
          <t>וקנין ינון אליה</t>
        </is>
      </c>
      <c r="C85" s="18" t="inlineStr">
        <is>
          <t>יא'6</t>
        </is>
      </c>
      <c r="D85" s="18" t="inlineStr"/>
      <c r="E85" s="18" t="n">
        <v>92</v>
      </c>
      <c r="F85" s="18" t="n">
        <v>93.2</v>
      </c>
      <c r="G85" s="18" t="inlineStr">
        <is>
          <t>נמוך</t>
        </is>
      </c>
      <c r="H85" s="18" t="n">
        <v>100</v>
      </c>
      <c r="I85" s="18" t="n">
        <v>100</v>
      </c>
      <c r="J85" s="18" t="n">
        <v>100</v>
      </c>
      <c r="K85" s="18" t="n">
        <v>90</v>
      </c>
      <c r="L85" s="18" t="n">
        <v>90</v>
      </c>
      <c r="M85" s="18" t="n">
        <v>90</v>
      </c>
      <c r="N85" s="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2026-04-22T08:11:14Z</dcterms:created>
  <dcterms:modified xmlns:dcterms="http://purl.org/dc/terms/" xmlns:xsi="http://www.w3.org/2001/XMLSchema-instance" xsi:type="dcterms:W3CDTF">2026-04-22T08:11:14Z</dcterms:modified>
</cp:coreProperties>
</file>